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enk\Desktop\"/>
    </mc:Choice>
  </mc:AlternateContent>
  <xr:revisionPtr revIDLastSave="0" documentId="13_ncr:1_{9F0F597D-A046-429F-8590-A2FFB7C64761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M12 Lenses" sheetId="4" r:id="rId1"/>
    <sheet name="C and CS-Mount Lenses" sheetId="1" r:id="rId2"/>
  </sheets>
  <definedNames>
    <definedName name="_xlnm._FilterDatabase" localSheetId="1" hidden="1">'C and CS-Mount Lenses'!$A$7:$L$80</definedName>
    <definedName name="_xlnm._FilterDatabase" localSheetId="0" hidden="1">'M12 Lenses'!$A$1:$AH$93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4" l="1"/>
</calcChain>
</file>

<file path=xl/sharedStrings.xml><?xml version="1.0" encoding="utf-8"?>
<sst xmlns="http://schemas.openxmlformats.org/spreadsheetml/2006/main" count="2650" uniqueCount="748">
  <si>
    <t>Commonlands M12 Lens List</t>
  </si>
  <si>
    <t>See Tab #2 for C and CS Mount Lenses</t>
  </si>
  <si>
    <t>Feb 19, 2025
v13.2</t>
  </si>
  <si>
    <t>View full specifications, download .STP files, and purchase samples by navigating to commonlands.com/cil### with product code.
Subject to change without notice. Visit commonlands.com/collections/m12-lenses for the most up-to-date info.
All lenses are available with or without IR Cut Off Filter. Please navigate to the webpage to find the full part number.</t>
  </si>
  <si>
    <t>Lenses in Gray are New Releases, please inquire for details</t>
  </si>
  <si>
    <t>DEFAULT IS SORTED BY VFOV ON 1/4"</t>
  </si>
  <si>
    <t>Customizations (e.g. F#, filter, barrel, ingress) are available: NRE, Lead-time, and MoQs may apply. Contact engineering@commonlands.com for feasibility review.</t>
  </si>
  <si>
    <t>Empty cells have not been calculated. Use our calculator at commonlands.com/collections/m12-lenses for all FoV values based on your specific sensor.</t>
  </si>
  <si>
    <t>Optical Specification</t>
  </si>
  <si>
    <t>Mechanical Specification</t>
  </si>
  <si>
    <t>1/4"</t>
  </si>
  <si>
    <t>1/3"</t>
  </si>
  <si>
    <t>1/2.7" (AR0230 1920x1080,3um)</t>
  </si>
  <si>
    <t>1/2.3" (IMX577 4056x3040,1.55um)</t>
  </si>
  <si>
    <t>1/1.8" (IMX678, 3840x2160,2um)</t>
  </si>
  <si>
    <t>1/1.7" (IMX728 3840x2160, 2.1um)</t>
  </si>
  <si>
    <t>Product Code</t>
  </si>
  <si>
    <t>Lens Type</t>
  </si>
  <si>
    <t>EFL (mm)</t>
  </si>
  <si>
    <t>F#</t>
  </si>
  <si>
    <t>Resolution</t>
  </si>
  <si>
    <t>Distortion</t>
  </si>
  <si>
    <t>IR Corrected</t>
  </si>
  <si>
    <t>Max Im.Cir.</t>
  </si>
  <si>
    <t>Chief Ray Ang. (CRA)</t>
  </si>
  <si>
    <t>Length (TTL)</t>
  </si>
  <si>
    <t>Max OD</t>
  </si>
  <si>
    <t>Ingress Prot.</t>
  </si>
  <si>
    <t>Constr.</t>
  </si>
  <si>
    <t>Barrel</t>
  </si>
  <si>
    <t>Threads</t>
  </si>
  <si>
    <t>Normalized Price (10Kpcs+) (1=lowest)</t>
  </si>
  <si>
    <t>HFoV</t>
  </si>
  <si>
    <t>VFoV (°)</t>
  </si>
  <si>
    <t>DFoV</t>
  </si>
  <si>
    <t>VFoV</t>
  </si>
  <si>
    <t>CIL207</t>
  </si>
  <si>
    <t>Fisheye</t>
  </si>
  <si>
    <t>3MP</t>
  </si>
  <si>
    <t>+27% F-Θ</t>
  </si>
  <si>
    <t>No</t>
  </si>
  <si>
    <t>4.0mm</t>
  </si>
  <si>
    <t>11°</t>
  </si>
  <si>
    <t>14.1mm</t>
  </si>
  <si>
    <t>16mm</t>
  </si>
  <si>
    <t>IP67</t>
  </si>
  <si>
    <t>Glass+Plastic</t>
  </si>
  <si>
    <t>AL6061</t>
  </si>
  <si>
    <t>M12x0.5</t>
  </si>
  <si>
    <t>184°</t>
  </si>
  <si>
    <t>195° (89%)</t>
  </si>
  <si>
    <t>195° (83%)</t>
  </si>
  <si>
    <t xml:space="preserve">195° (67%) </t>
  </si>
  <si>
    <t>195° (69%)</t>
  </si>
  <si>
    <t>174°</t>
  </si>
  <si>
    <t>195° (61%)</t>
  </si>
  <si>
    <t>CIL208</t>
  </si>
  <si>
    <t>5MP</t>
  </si>
  <si>
    <t>-6% F-Θ</t>
  </si>
  <si>
    <t>2.9mm</t>
  </si>
  <si>
    <t>12.9mm</t>
  </si>
  <si>
    <t>14mm</t>
  </si>
  <si>
    <t>/</t>
  </si>
  <si>
    <t>All Glass</t>
  </si>
  <si>
    <t>198° (81%)</t>
  </si>
  <si>
    <t>198° (64%)</t>
  </si>
  <si>
    <t>CIL212 </t>
  </si>
  <si>
    <t>8MP</t>
  </si>
  <si>
    <t>-10% F-θ</t>
  </si>
  <si>
    <t>3.9mm</t>
  </si>
  <si>
    <t>9°</t>
  </si>
  <si>
    <t>20.4mm</t>
  </si>
  <si>
    <t>17mm</t>
  </si>
  <si>
    <t>204°</t>
  </si>
  <si>
    <t>226° (87%)</t>
  </si>
  <si>
    <t>226° (81%)</t>
  </si>
  <si>
    <t>226° (65%)</t>
  </si>
  <si>
    <t>226° (68%)</t>
  </si>
  <si>
    <t>180°</t>
  </si>
  <si>
    <t>226° (59%)</t>
  </si>
  <si>
    <t>12MP</t>
  </si>
  <si>
    <t>-9% F-Θ</t>
  </si>
  <si>
    <t>4.5mm</t>
  </si>
  <si>
    <t>4°</t>
  </si>
  <si>
    <t>162°</t>
  </si>
  <si>
    <t>CIL273</t>
  </si>
  <si>
    <t>2MP</t>
  </si>
  <si>
    <t>+30% F-Θ</t>
  </si>
  <si>
    <t>5.8mm</t>
  </si>
  <si>
    <t>16°</t>
  </si>
  <si>
    <t>14.7mm</t>
  </si>
  <si>
    <t>15mm</t>
  </si>
  <si>
    <t>IP69K</t>
  </si>
  <si>
    <t>132°</t>
  </si>
  <si>
    <t>154°</t>
  </si>
  <si>
    <t>160°</t>
  </si>
  <si>
    <t>177° (97%)</t>
  </si>
  <si>
    <t>177°</t>
  </si>
  <si>
    <t>123°</t>
  </si>
  <si>
    <t>177° (88%)</t>
  </si>
  <si>
    <t>CIL293</t>
  </si>
  <si>
    <t>+20% F-Θ</t>
  </si>
  <si>
    <t>5.4mm</t>
  </si>
  <si>
    <t>29.9mm</t>
  </si>
  <si>
    <t>Glass+MGlass</t>
  </si>
  <si>
    <t>139°</t>
  </si>
  <si>
    <t>163°</t>
  </si>
  <si>
    <t>171°</t>
  </si>
  <si>
    <t>138°</t>
  </si>
  <si>
    <t>184° (90%)</t>
  </si>
  <si>
    <t>184° (94%)</t>
  </si>
  <si>
    <t>128°</t>
  </si>
  <si>
    <t>184° (82%)</t>
  </si>
  <si>
    <t>184° (86%)</t>
  </si>
  <si>
    <t>169°</t>
  </si>
  <si>
    <t>184° (69%)</t>
  </si>
  <si>
    <t>184° (70%)</t>
  </si>
  <si>
    <t>159°</t>
  </si>
  <si>
    <t>184° (61%)</t>
  </si>
  <si>
    <t>184° (67%)</t>
  </si>
  <si>
    <t>164°</t>
  </si>
  <si>
    <t>184° (58%)</t>
  </si>
  <si>
    <t>CIL914</t>
  </si>
  <si>
    <t>-8% F-Θ</t>
  </si>
  <si>
    <t>8°</t>
  </si>
  <si>
    <t>13.2mm</t>
  </si>
  <si>
    <t>200° (100%)</t>
  </si>
  <si>
    <t>200° (94%)</t>
  </si>
  <si>
    <t>200° (75%)</t>
  </si>
  <si>
    <t>200° (78%)</t>
  </si>
  <si>
    <t>200° (68%)</t>
  </si>
  <si>
    <t>CIL216 </t>
  </si>
  <si>
    <t>14MP</t>
  </si>
  <si>
    <t>-11% F-Θ</t>
  </si>
  <si>
    <t>4.7mm</t>
  </si>
  <si>
    <t>12°</t>
  </si>
  <si>
    <t>27.3mm</t>
  </si>
  <si>
    <t>26mm</t>
  </si>
  <si>
    <t>141°</t>
  </si>
  <si>
    <t>185°</t>
  </si>
  <si>
    <t>195° (98%)</t>
  </si>
  <si>
    <t>195° (78%)</t>
  </si>
  <si>
    <t>195° (82%)</t>
  </si>
  <si>
    <t>126°</t>
  </si>
  <si>
    <t>195° (71%)</t>
  </si>
  <si>
    <t>195° (75%)</t>
  </si>
  <si>
    <t>195° (100%)</t>
  </si>
  <si>
    <t>195° (60%)</t>
  </si>
  <si>
    <t>175°</t>
  </si>
  <si>
    <t>195° (53%)</t>
  </si>
  <si>
    <t>CIL217 </t>
  </si>
  <si>
    <t>-3% F-Θ</t>
  </si>
  <si>
    <t>5.7mm</t>
  </si>
  <si>
    <t>15°</t>
  </si>
  <si>
    <t>14.9mm</t>
  </si>
  <si>
    <t>121°</t>
  </si>
  <si>
    <t>151°</t>
  </si>
  <si>
    <t>200° (95%)</t>
  </si>
  <si>
    <t>200° (99%)</t>
  </si>
  <si>
    <t>113°</t>
  </si>
  <si>
    <t>200° (86%)</t>
  </si>
  <si>
    <t>200° (91%)</t>
  </si>
  <si>
    <t>166°</t>
  </si>
  <si>
    <t>200° (73%)</t>
  </si>
  <si>
    <t>200° (80%)</t>
  </si>
  <si>
    <t>188°</t>
  </si>
  <si>
    <t>200° (64%)</t>
  </si>
  <si>
    <t>200° (71%)</t>
  </si>
  <si>
    <t>200° (62%)</t>
  </si>
  <si>
    <t>CIL237</t>
  </si>
  <si>
    <t>-5% F-Θ</t>
  </si>
  <si>
    <t>5.5mm</t>
  </si>
  <si>
    <t>19.0mm</t>
  </si>
  <si>
    <t>18mm</t>
  </si>
  <si>
    <t>122°</t>
  </si>
  <si>
    <t>152°</t>
  </si>
  <si>
    <t>186° (92%)</t>
  </si>
  <si>
    <t>186° (95%)</t>
  </si>
  <si>
    <t>109°</t>
  </si>
  <si>
    <t>186° (83%)</t>
  </si>
  <si>
    <t>186° (72%)</t>
  </si>
  <si>
    <t>146°</t>
  </si>
  <si>
    <t>186° (62%)</t>
  </si>
  <si>
    <t>186° (68%)</t>
  </si>
  <si>
    <t>153°</t>
  </si>
  <si>
    <t>186° (59%)</t>
  </si>
  <si>
    <t>CIL018 </t>
  </si>
  <si>
    <t>Low Distortion</t>
  </si>
  <si>
    <t xml:space="preserve"> -7% TV</t>
  </si>
  <si>
    <t>7.0mm</t>
  </si>
  <si>
    <t>14°</t>
  </si>
  <si>
    <t>24.5mm</t>
  </si>
  <si>
    <t>17.5mm</t>
  </si>
  <si>
    <t>92°</t>
  </si>
  <si>
    <t>106°</t>
  </si>
  <si>
    <t>110°</t>
  </si>
  <si>
    <t>86°</t>
  </si>
  <si>
    <t>129°</t>
  </si>
  <si>
    <t>CIL239</t>
  </si>
  <si>
    <t>-13% F-Θ</t>
  </si>
  <si>
    <t>Yes</t>
  </si>
  <si>
    <t>5.2mm</t>
  </si>
  <si>
    <t>10°</t>
  </si>
  <si>
    <t>27.0mm</t>
  </si>
  <si>
    <t>21mm</t>
  </si>
  <si>
    <t>120°</t>
  </si>
  <si>
    <t>155°</t>
  </si>
  <si>
    <t>167°</t>
  </si>
  <si>
    <t>185° (87%)</t>
  </si>
  <si>
    <t>185° (90%)</t>
  </si>
  <si>
    <t>107°</t>
  </si>
  <si>
    <t>185° (79%)</t>
  </si>
  <si>
    <t>185° (83%)</t>
  </si>
  <si>
    <t>185° (66%)</t>
  </si>
  <si>
    <t>185° (68%)</t>
  </si>
  <si>
    <t>147°</t>
  </si>
  <si>
    <t>185° (59%)</t>
  </si>
  <si>
    <t>185° (65%)</t>
  </si>
  <si>
    <t>156°</t>
  </si>
  <si>
    <t>185° (56%)</t>
  </si>
  <si>
    <t>CIL818</t>
  </si>
  <si>
    <t xml:space="preserve"> -12% F-θ</t>
  </si>
  <si>
    <t>17°</t>
  </si>
  <si>
    <t>12mm</t>
  </si>
  <si>
    <t>12-14mm</t>
  </si>
  <si>
    <t>AL6061 / PC</t>
  </si>
  <si>
    <t>M12x0.5 / M8x0.5</t>
  </si>
  <si>
    <t>124°</t>
  </si>
  <si>
    <t>198° (88%)</t>
  </si>
  <si>
    <t>198° (92%)</t>
  </si>
  <si>
    <t>198° (80%)</t>
  </si>
  <si>
    <t>CIL220 </t>
  </si>
  <si>
    <t>2.3 / 2.8</t>
  </si>
  <si>
    <t>4MP / 8MP</t>
  </si>
  <si>
    <t>0% F-Θ</t>
  </si>
  <si>
    <t>6.8mm</t>
  </si>
  <si>
    <t>13°</t>
  </si>
  <si>
    <t>15.9mm</t>
  </si>
  <si>
    <t>14.0mm</t>
  </si>
  <si>
    <t>IP69K+HY</t>
  </si>
  <si>
    <t>150°</t>
  </si>
  <si>
    <t>112°</t>
  </si>
  <si>
    <t>101°</t>
  </si>
  <si>
    <t>207°</t>
  </si>
  <si>
    <t>197°</t>
  </si>
  <si>
    <t>148°</t>
  </si>
  <si>
    <t>213° (87%)</t>
  </si>
  <si>
    <t>213° (89%)</t>
  </si>
  <si>
    <t>135°</t>
  </si>
  <si>
    <t>213° (77%)</t>
  </si>
  <si>
    <t>213° (84%)</t>
  </si>
  <si>
    <t>142°</t>
  </si>
  <si>
    <t>213° (74%)</t>
  </si>
  <si>
    <t>CIL219 </t>
  </si>
  <si>
    <t>10MP</t>
  </si>
  <si>
    <t>6.3mm</t>
  </si>
  <si>
    <t>21.3mm</t>
  </si>
  <si>
    <t>18.5mm</t>
  </si>
  <si>
    <t>189°</t>
  </si>
  <si>
    <t>99°</t>
  </si>
  <si>
    <t>199° (95%)</t>
  </si>
  <si>
    <t>198°</t>
  </si>
  <si>
    <t>199° (80%)</t>
  </si>
  <si>
    <t>199° (82%)</t>
  </si>
  <si>
    <t>133°</t>
  </si>
  <si>
    <t>199° (72%)</t>
  </si>
  <si>
    <t>199° (78%)</t>
  </si>
  <si>
    <t>140°</t>
  </si>
  <si>
    <t>199° (68%)</t>
  </si>
  <si>
    <t>CIL290</t>
  </si>
  <si>
    <t>19°</t>
  </si>
  <si>
    <t>12.3mm</t>
  </si>
  <si>
    <t>143°</t>
  </si>
  <si>
    <t>193° (97%)</t>
  </si>
  <si>
    <t>191°</t>
  </si>
  <si>
    <t>100°</t>
  </si>
  <si>
    <t>193° (88%)</t>
  </si>
  <si>
    <t>CIL819</t>
  </si>
  <si>
    <t>Wide-Angle</t>
  </si>
  <si>
    <t xml:space="preserve"> -22% TV</t>
  </si>
  <si>
    <t>5.9mm</t>
  </si>
  <si>
    <t>103°</t>
  </si>
  <si>
    <t>125°</t>
  </si>
  <si>
    <t>CIL281</t>
  </si>
  <si>
    <t>-1% F-Θ</t>
  </si>
  <si>
    <t>NO</t>
  </si>
  <si>
    <t>6.5mm</t>
  </si>
  <si>
    <t>27.7mm</t>
  </si>
  <si>
    <t>23.5mm</t>
  </si>
  <si>
    <t>CIL821 </t>
  </si>
  <si>
    <t>+23% FΘ</t>
  </si>
  <si>
    <t>24°</t>
  </si>
  <si>
    <t>91°</t>
  </si>
  <si>
    <t>115°</t>
  </si>
  <si>
    <t>136°</t>
  </si>
  <si>
    <t>83°</t>
  </si>
  <si>
    <t>145°</t>
  </si>
  <si>
    <t>CIL023 </t>
  </si>
  <si>
    <t xml:space="preserve"> -6% TV</t>
  </si>
  <si>
    <t>7.8mm</t>
  </si>
  <si>
    <t>25°</t>
  </si>
  <si>
    <t>24.0mm</t>
  </si>
  <si>
    <t>22mm</t>
  </si>
  <si>
    <t>80°</t>
  </si>
  <si>
    <t>94°</t>
  </si>
  <si>
    <t>98°</t>
  </si>
  <si>
    <t>74°</t>
  </si>
  <si>
    <t>117°</t>
  </si>
  <si>
    <t>114°</t>
  </si>
  <si>
    <t>97°</t>
  </si>
  <si>
    <t>127°</t>
  </si>
  <si>
    <t>CIL222 </t>
  </si>
  <si>
    <t>6.6mm</t>
  </si>
  <si>
    <t>16.8mm</t>
  </si>
  <si>
    <t>14-16mm</t>
  </si>
  <si>
    <t>96°</t>
  </si>
  <si>
    <t>131°</t>
  </si>
  <si>
    <t>161°</t>
  </si>
  <si>
    <t>190°</t>
  </si>
  <si>
    <t>197° (87%)</t>
  </si>
  <si>
    <t>197° (96%)</t>
  </si>
  <si>
    <t>197° (76%)</t>
  </si>
  <si>
    <t>197° (84%)</t>
  </si>
  <si>
    <t>197° (74%)</t>
  </si>
  <si>
    <t>CIL282</t>
  </si>
  <si>
    <t>6MP</t>
  </si>
  <si>
    <t>7°</t>
  </si>
  <si>
    <t>22.0mm</t>
  </si>
  <si>
    <t>130°</t>
  </si>
  <si>
    <t>95°</t>
  </si>
  <si>
    <t>158°</t>
  </si>
  <si>
    <t>CIL324 </t>
  </si>
  <si>
    <t>-14% F-Θ</t>
  </si>
  <si>
    <t>22.1mm</t>
  </si>
  <si>
    <t>88°</t>
  </si>
  <si>
    <t>157°</t>
  </si>
  <si>
    <t>79°</t>
  </si>
  <si>
    <t>178°</t>
  </si>
  <si>
    <t>CIL825 </t>
  </si>
  <si>
    <t xml:space="preserve"> +24% F-Θ</t>
  </si>
  <si>
    <t>15.3mm</t>
  </si>
  <si>
    <t>77°</t>
  </si>
  <si>
    <t>93°</t>
  </si>
  <si>
    <t>116°</t>
  </si>
  <si>
    <t>70°</t>
  </si>
  <si>
    <t>CIL926</t>
  </si>
  <si>
    <t>7.4mm</t>
  </si>
  <si>
    <t>17.0mm</t>
  </si>
  <si>
    <t>104°</t>
  </si>
  <si>
    <t>111°</t>
  </si>
  <si>
    <t>134°</t>
  </si>
  <si>
    <t>75°</t>
  </si>
  <si>
    <t>CIL028 </t>
  </si>
  <si>
    <t>2.3 / 2.6</t>
  </si>
  <si>
    <t xml:space="preserve"> -3% TV</t>
  </si>
  <si>
    <t>8.0mm</t>
  </si>
  <si>
    <t>18°</t>
  </si>
  <si>
    <t>82°</t>
  </si>
  <si>
    <t>64°</t>
  </si>
  <si>
    <t>105°</t>
  </si>
  <si>
    <t>102°</t>
  </si>
  <si>
    <t>85°</t>
  </si>
  <si>
    <t>CIL027 </t>
  </si>
  <si>
    <t xml:space="preserve"> -2% TV</t>
  </si>
  <si>
    <t>8.2mm</t>
  </si>
  <si>
    <t>22.6mm</t>
  </si>
  <si>
    <t>68°</t>
  </si>
  <si>
    <t>81°</t>
  </si>
  <si>
    <t>84°</t>
  </si>
  <si>
    <t>62°</t>
  </si>
  <si>
    <t>78°</t>
  </si>
  <si>
    <t>CIL227 </t>
  </si>
  <si>
    <t>17.4mm</t>
  </si>
  <si>
    <t>195° (93%)</t>
  </si>
  <si>
    <t>192°</t>
  </si>
  <si>
    <t>CIL327 </t>
  </si>
  <si>
    <t>1.5 / 1.8</t>
  </si>
  <si>
    <t>3MP / 8MP</t>
  </si>
  <si>
    <t>7.1mm</t>
  </si>
  <si>
    <t>&lt;6°</t>
  </si>
  <si>
    <t>22.5mm</t>
  </si>
  <si>
    <t>CIL093</t>
  </si>
  <si>
    <t>27.4mm</t>
  </si>
  <si>
    <t>18.0mm</t>
  </si>
  <si>
    <t>66°</t>
  </si>
  <si>
    <t>65°</t>
  </si>
  <si>
    <t>60°</t>
  </si>
  <si>
    <t>CIL329</t>
  </si>
  <si>
    <t>Wide Angle</t>
  </si>
  <si>
    <t>7.2mm</t>
  </si>
  <si>
    <t>17.7mm</t>
  </si>
  <si>
    <t>CIL829</t>
  </si>
  <si>
    <t xml:space="preserve"> -1% TV</t>
  </si>
  <si>
    <t>21°</t>
  </si>
  <si>
    <t>14.8mm</t>
  </si>
  <si>
    <t>10mm-14mm</t>
  </si>
  <si>
    <t>M12x0.5 / M8x0.35</t>
  </si>
  <si>
    <t>CIL330</t>
  </si>
  <si>
    <t>Glass</t>
  </si>
  <si>
    <t>CIL391</t>
  </si>
  <si>
    <t>CIL030</t>
  </si>
  <si>
    <t xml:space="preserve"> -8% TV</t>
  </si>
  <si>
    <t>9.4mm</t>
  </si>
  <si>
    <t>29.6mm</t>
  </si>
  <si>
    <t>63°</t>
  </si>
  <si>
    <t>76°</t>
  </si>
  <si>
    <t>58°</t>
  </si>
  <si>
    <t>119°</t>
  </si>
  <si>
    <t>CIL232 </t>
  </si>
  <si>
    <t>16MP</t>
  </si>
  <si>
    <t>-10% F-Θ</t>
  </si>
  <si>
    <t>9.1mm</t>
  </si>
  <si>
    <t>27.8mm</t>
  </si>
  <si>
    <t>23mm</t>
  </si>
  <si>
    <t>67°</t>
  </si>
  <si>
    <t>61°</t>
  </si>
  <si>
    <t>89°</t>
  </si>
  <si>
    <t>179°</t>
  </si>
  <si>
    <t>187° (98%)</t>
  </si>
  <si>
    <t>CIL332</t>
  </si>
  <si>
    <t xml:space="preserve"> -18% F-Θ</t>
  </si>
  <si>
    <t>22.3mm</t>
  </si>
  <si>
    <t>869°</t>
  </si>
  <si>
    <t>CIL034 </t>
  </si>
  <si>
    <t>IP67+ Low Distortion</t>
  </si>
  <si>
    <t>2.3 / 2.7 / 4.2</t>
  </si>
  <si>
    <t>4MP / 12MP / 6MP</t>
  </si>
  <si>
    <t>0% TV</t>
  </si>
  <si>
    <t>14mm-17mm</t>
  </si>
  <si>
    <t>59°</t>
  </si>
  <si>
    <t>71°</t>
  </si>
  <si>
    <t>87°</t>
  </si>
  <si>
    <t>54°</t>
  </si>
  <si>
    <t>90°</t>
  </si>
  <si>
    <t>73°</t>
  </si>
  <si>
    <t>CIL036 </t>
  </si>
  <si>
    <t>4MP</t>
  </si>
  <si>
    <t xml:space="preserve"> -0.5% TV</t>
  </si>
  <si>
    <t>23°</t>
  </si>
  <si>
    <t>16.6mm</t>
  </si>
  <si>
    <t>57°</t>
  </si>
  <si>
    <t>69°</t>
  </si>
  <si>
    <t>72°</t>
  </si>
  <si>
    <t>52°</t>
  </si>
  <si>
    <t>CIL394</t>
  </si>
  <si>
    <t>7.6mm</t>
  </si>
  <si>
    <t>16.9mm</t>
  </si>
  <si>
    <t>CIL333</t>
  </si>
  <si>
    <t>8.8mm</t>
  </si>
  <si>
    <t>22.8mm</t>
  </si>
  <si>
    <t>53°</t>
  </si>
  <si>
    <t>CIL334 </t>
  </si>
  <si>
    <t>19.5mm</t>
  </si>
  <si>
    <t>IP67+HY</t>
  </si>
  <si>
    <t>108°</t>
  </si>
  <si>
    <t>170°</t>
  </si>
  <si>
    <t>CIL335 </t>
  </si>
  <si>
    <t>23.8mm</t>
  </si>
  <si>
    <t>CIL336</t>
  </si>
  <si>
    <t>16° @ 7.2 mm</t>
  </si>
  <si>
    <t>CIL038</t>
  </si>
  <si>
    <t>14° @ 8.0 mm</t>
  </si>
  <si>
    <t>25.4mm</t>
  </si>
  <si>
    <t>50°</t>
  </si>
  <si>
    <t>45°</t>
  </si>
  <si>
    <t>CIL039 </t>
  </si>
  <si>
    <t>8mm</t>
  </si>
  <si>
    <t>22.2mm</t>
  </si>
  <si>
    <t>CIL339</t>
  </si>
  <si>
    <t xml:space="preserve"> -4% F-Θ</t>
  </si>
  <si>
    <t>9.3mm</t>
  </si>
  <si>
    <t>20°</t>
  </si>
  <si>
    <t>30.0mm</t>
  </si>
  <si>
    <t>48°</t>
  </si>
  <si>
    <t>118°</t>
  </si>
  <si>
    <t>CIL340</t>
  </si>
  <si>
    <t>9.0mm</t>
  </si>
  <si>
    <t>31.5mm</t>
  </si>
  <si>
    <t>20mm</t>
  </si>
  <si>
    <t>51°</t>
  </si>
  <si>
    <t>46°</t>
  </si>
  <si>
    <t>CIL341</t>
  </si>
  <si>
    <t xml:space="preserve"> -10% F-Θ</t>
  </si>
  <si>
    <t>30.5mm</t>
  </si>
  <si>
    <t>19mm</t>
  </si>
  <si>
    <t>47°</t>
  </si>
  <si>
    <t>CIL042</t>
  </si>
  <si>
    <t>15° @ 8.8 mm</t>
  </si>
  <si>
    <t>42°</t>
  </si>
  <si>
    <t>55°</t>
  </si>
  <si>
    <t>CIL043 </t>
  </si>
  <si>
    <t>8.1mm</t>
  </si>
  <si>
    <t>44°</t>
  </si>
  <si>
    <t>40°</t>
  </si>
  <si>
    <t>56°</t>
  </si>
  <si>
    <t>CIL046 </t>
  </si>
  <si>
    <t>Mid-Range</t>
  </si>
  <si>
    <t>24mm</t>
  </si>
  <si>
    <t>41°</t>
  </si>
  <si>
    <t>CIL343</t>
  </si>
  <si>
    <t xml:space="preserve"> -5% F-Θ</t>
  </si>
  <si>
    <t>CIL045 </t>
  </si>
  <si>
    <t>21.5mm</t>
  </si>
  <si>
    <t>CIL344</t>
  </si>
  <si>
    <t>1.9 / 2.7</t>
  </si>
  <si>
    <t>4MP / 14MP</t>
  </si>
  <si>
    <t xml:space="preserve"> -1% F-Θ</t>
  </si>
  <si>
    <t>11mm</t>
  </si>
  <si>
    <t>29.8mm</t>
  </si>
  <si>
    <t>CIL948</t>
  </si>
  <si>
    <t>-2% F-Θ</t>
  </si>
  <si>
    <t>18.7mm</t>
  </si>
  <si>
    <t>43°</t>
  </si>
  <si>
    <t>39°</t>
  </si>
  <si>
    <t>CIL052</t>
  </si>
  <si>
    <t>20.0mm</t>
  </si>
  <si>
    <t>CIL355</t>
  </si>
  <si>
    <t>21.1mm</t>
  </si>
  <si>
    <t>IP69K9K</t>
  </si>
  <si>
    <t>CIL857</t>
  </si>
  <si>
    <t>10.2mm</t>
  </si>
  <si>
    <t>8mm-12mm</t>
  </si>
  <si>
    <t>36°</t>
  </si>
  <si>
    <t>35°</t>
  </si>
  <si>
    <t>32°</t>
  </si>
  <si>
    <t>CIL358</t>
  </si>
  <si>
    <t>29.7mm</t>
  </si>
  <si>
    <t>CIL059</t>
  </si>
  <si>
    <t>1.7 / 4.0 / 5.6</t>
  </si>
  <si>
    <t>8MP / 8MP / 5MP</t>
  </si>
  <si>
    <t>31.0mm</t>
  </si>
  <si>
    <t>34°</t>
  </si>
  <si>
    <t>31°</t>
  </si>
  <si>
    <t>CIL061 </t>
  </si>
  <si>
    <t xml:space="preserve"> -5% TV</t>
  </si>
  <si>
    <t>12° @ 7.0 mm</t>
  </si>
  <si>
    <t>20.6mm</t>
  </si>
  <si>
    <t>CIL062</t>
  </si>
  <si>
    <t>2.8 / 4.0</t>
  </si>
  <si>
    <t>23.4mm</t>
  </si>
  <si>
    <t>16.0mm</t>
  </si>
  <si>
    <t>CIL068 </t>
  </si>
  <si>
    <t>18° @ 9.4 mm</t>
  </si>
  <si>
    <t>31.6mm</t>
  </si>
  <si>
    <t>30°</t>
  </si>
  <si>
    <t>37°</t>
  </si>
  <si>
    <t>49°</t>
  </si>
  <si>
    <t>27°</t>
  </si>
  <si>
    <t>CIL368</t>
  </si>
  <si>
    <t>-4% F-Θ</t>
  </si>
  <si>
    <t>33mm</t>
  </si>
  <si>
    <t>38°</t>
  </si>
  <si>
    <t>30­°</t>
  </si>
  <si>
    <t>CIL872 </t>
  </si>
  <si>
    <t>8.5mm</t>
  </si>
  <si>
    <t>11.3mm</t>
  </si>
  <si>
    <t>28°</t>
  </si>
  <si>
    <t>26°</t>
  </si>
  <si>
    <t>CIL078</t>
  </si>
  <si>
    <t>14° @ 8.8 mm</t>
  </si>
  <si>
    <t>34.4mm</t>
  </si>
  <si>
    <t>CIL382</t>
  </si>
  <si>
    <t>2.0 / 5.6</t>
  </si>
  <si>
    <t>5°</t>
  </si>
  <si>
    <t>33°</t>
  </si>
  <si>
    <t>CIL079</t>
  </si>
  <si>
    <t xml:space="preserve"> -4% TV</t>
  </si>
  <si>
    <t>CIL083</t>
  </si>
  <si>
    <t>24.4mm</t>
  </si>
  <si>
    <t>CIL085</t>
  </si>
  <si>
    <t>3.0 / 4.4</t>
  </si>
  <si>
    <t>10° @ 8.8 mm</t>
  </si>
  <si>
    <t>22°</t>
  </si>
  <si>
    <t>CIL104</t>
  </si>
  <si>
    <t>15.0mm</t>
  </si>
  <si>
    <t>12.0mm</t>
  </si>
  <si>
    <t>CIL122</t>
  </si>
  <si>
    <t>Telephoto</t>
  </si>
  <si>
    <t>6°</t>
  </si>
  <si>
    <t>24.2mm</t>
  </si>
  <si>
    <t>29°</t>
  </si>
  <si>
    <t>CIL120</t>
  </si>
  <si>
    <t>26.3mm</t>
  </si>
  <si>
    <t>CIL125 </t>
  </si>
  <si>
    <t>2.4 / 3.6 / 8.0</t>
  </si>
  <si>
    <t>22.7mm</t>
  </si>
  <si>
    <t>CIL142</t>
  </si>
  <si>
    <t>2.6 / 4.1 /5.2</t>
  </si>
  <si>
    <t>12MP / 8MP / 6MP</t>
  </si>
  <si>
    <t>9° @ 8.8 mm</t>
  </si>
  <si>
    <t>20.2mm</t>
  </si>
  <si>
    <t>CIL160 </t>
  </si>
  <si>
    <t>1.9 / 2.8 / 4.0 / 5.6</t>
  </si>
  <si>
    <t>22.4mm</t>
  </si>
  <si>
    <t>CIL178</t>
  </si>
  <si>
    <t>19.8mm</t>
  </si>
  <si>
    <t>13mm</t>
  </si>
  <si>
    <t>CIL190</t>
  </si>
  <si>
    <t>CIL121</t>
  </si>
  <si>
    <t>2.8 / 5.9</t>
  </si>
  <si>
    <t>12MP / 6MP</t>
  </si>
  <si>
    <t>8° @ 8.8 mm</t>
  </si>
  <si>
    <t>28.3mm</t>
  </si>
  <si>
    <t>15.6mm</t>
  </si>
  <si>
    <t>13­°</t>
  </si>
  <si>
    <t>CIL250</t>
  </si>
  <si>
    <t>30.1mm</t>
  </si>
  <si>
    <t>CIL350 </t>
  </si>
  <si>
    <t>39.8mm</t>
  </si>
  <si>
    <t>CIL051</t>
  </si>
  <si>
    <t>51.0mm</t>
  </si>
  <si>
    <t>Commonlands C-Mount Lens List</t>
  </si>
  <si>
    <t>See Tab #1 for M12 Lenses</t>
  </si>
  <si>
    <t>View full specifications, download .STP files, and purchase samples by navigating to commonlands.com/cil### with product code.
Subject to change without notice. Visit commonlands.com/collections/c-mount-lenses for the most up-to-date info.</t>
  </si>
  <si>
    <t>Product Code / Link</t>
  </si>
  <si>
    <t>Mount Type</t>
  </si>
  <si>
    <t>Format Type</t>
  </si>
  <si>
    <t>Minimum Object Distance</t>
  </si>
  <si>
    <t>Pixel Size</t>
  </si>
  <si>
    <t>Diameter</t>
  </si>
  <si>
    <t>Length in front of Mount</t>
  </si>
  <si>
    <t>Ruggedization Available?</t>
  </si>
  <si>
    <t>Filter</t>
  </si>
  <si>
    <t>CIL505</t>
  </si>
  <si>
    <t>C-Mount</t>
  </si>
  <si>
    <t>180°@14.2mm Im.Circ</t>
  </si>
  <si>
    <t>50mm</t>
  </si>
  <si>
    <t>3.45um</t>
  </si>
  <si>
    <t>37mm</t>
  </si>
  <si>
    <t>30.8mm</t>
  </si>
  <si>
    <t>Need Attachment</t>
  </si>
  <si>
    <t>CIL570</t>
  </si>
  <si>
    <t>1/1.7"</t>
  </si>
  <si>
    <t>4mm</t>
  </si>
  <si>
    <t>2.8-16</t>
  </si>
  <si>
    <t>1.62um~1.85um</t>
  </si>
  <si>
    <t>48.6mm</t>
  </si>
  <si>
    <t>56.5mm</t>
  </si>
  <si>
    <t>Optional</t>
  </si>
  <si>
    <t>CIL508</t>
  </si>
  <si>
    <t>1.1"</t>
  </si>
  <si>
    <t>2.4-16</t>
  </si>
  <si>
    <t>100mm</t>
  </si>
  <si>
    <t>60mm</t>
  </si>
  <si>
    <t>65.8mm</t>
  </si>
  <si>
    <t>M58x0.75</t>
  </si>
  <si>
    <t>CIL521</t>
  </si>
  <si>
    <t>2/3"</t>
  </si>
  <si>
    <t>1.5-16</t>
  </si>
  <si>
    <t>39mm</t>
  </si>
  <si>
    <t>40.0mm</t>
  </si>
  <si>
    <t>M37x0.5</t>
  </si>
  <si>
    <t>CIL531</t>
  </si>
  <si>
    <t>10MP-12MP</t>
  </si>
  <si>
    <t>2.2um</t>
  </si>
  <si>
    <t>29mm</t>
  </si>
  <si>
    <t>39.9mm</t>
  </si>
  <si>
    <t>None</t>
  </si>
  <si>
    <t>CIL512</t>
  </si>
  <si>
    <t>47mm</t>
  </si>
  <si>
    <t>57.0mm</t>
  </si>
  <si>
    <t>CIL522</t>
  </si>
  <si>
    <t>1.4-16</t>
  </si>
  <si>
    <t>32mm</t>
  </si>
  <si>
    <t>29.0mm</t>
  </si>
  <si>
    <t>M27x0.5</t>
  </si>
  <si>
    <t>CIL532</t>
  </si>
  <si>
    <t>2.0-16</t>
  </si>
  <si>
    <t>37.7mm</t>
  </si>
  <si>
    <t>CIL542</t>
  </si>
  <si>
    <t>25MP</t>
  </si>
  <si>
    <t>2.5 um</t>
  </si>
  <si>
    <t>69mm</t>
  </si>
  <si>
    <t>M46x0.75</t>
  </si>
  <si>
    <t>CIL552</t>
  </si>
  <si>
    <t>1.2"</t>
  </si>
  <si>
    <t>20MP-25MP</t>
  </si>
  <si>
    <t>2.74um</t>
  </si>
  <si>
    <t>74.7mm</t>
  </si>
  <si>
    <t>CIL513</t>
  </si>
  <si>
    <t>38.6mm</t>
  </si>
  <si>
    <t>M35.5x0.5</t>
  </si>
  <si>
    <t>CIL523</t>
  </si>
  <si>
    <t>150mm</t>
  </si>
  <si>
    <t>33.5mm</t>
  </si>
  <si>
    <t>M30.5x0.5</t>
  </si>
  <si>
    <t>CIL533</t>
  </si>
  <si>
    <t>39.5mm</t>
  </si>
  <si>
    <t>CIL553</t>
  </si>
  <si>
    <t>125mm</t>
  </si>
  <si>
    <t>35mm</t>
  </si>
  <si>
    <t>53.5mm~57.4mm</t>
  </si>
  <si>
    <t>CIL514</t>
  </si>
  <si>
    <t>25mm</t>
  </si>
  <si>
    <t>44.0mm</t>
  </si>
  <si>
    <t>CIL525</t>
  </si>
  <si>
    <t>200mm</t>
  </si>
  <si>
    <t>31.4mm~34.3mm</t>
  </si>
  <si>
    <t>CIL534</t>
  </si>
  <si>
    <t>30.9mm</t>
  </si>
  <si>
    <t>M25.5x0.5</t>
  </si>
  <si>
    <t>CIL544</t>
  </si>
  <si>
    <t>1.8-inf</t>
  </si>
  <si>
    <t>2.1um-2.74um</t>
  </si>
  <si>
    <t>36.9mm~44.5mm</t>
  </si>
  <si>
    <t>CIL554</t>
  </si>
  <si>
    <t>2.6-16</t>
  </si>
  <si>
    <t>44.9mm~49.5mm</t>
  </si>
  <si>
    <t>CIL515</t>
  </si>
  <si>
    <t>CIL526</t>
  </si>
  <si>
    <t>250mm</t>
  </si>
  <si>
    <t>40mm</t>
  </si>
  <si>
    <t>43.7mm</t>
  </si>
  <si>
    <t>CIL535</t>
  </si>
  <si>
    <t>43.2mm</t>
  </si>
  <si>
    <t>CIL545</t>
  </si>
  <si>
    <t>44mm~53mm</t>
  </si>
  <si>
    <t>CIL555</t>
  </si>
  <si>
    <t>45.7mm~52.2mm</t>
  </si>
  <si>
    <t>CIL536</t>
  </si>
  <si>
    <t>30mm</t>
  </si>
  <si>
    <t>40.4mm</t>
  </si>
  <si>
    <t>CIL546</t>
  </si>
  <si>
    <t>250 mm</t>
  </si>
  <si>
    <t>20MP+</t>
  </si>
  <si>
    <t>2.74 um</t>
  </si>
  <si>
    <t>38.8mm</t>
  </si>
  <si>
    <t>46.6mm~56.6mm</t>
  </si>
  <si>
    <t>CIL556</t>
  </si>
  <si>
    <t>56.6mm~65mm</t>
  </si>
  <si>
    <t>CIL557</t>
  </si>
  <si>
    <t>75mm</t>
  </si>
  <si>
    <t>3.0-16</t>
  </si>
  <si>
    <t>350mm</t>
  </si>
  <si>
    <t>35.5mm</t>
  </si>
  <si>
    <t>CIL356</t>
  </si>
  <si>
    <t>IP6K9K</t>
  </si>
  <si>
    <t xml:space="preserve"> -6% F-Θ</t>
  </si>
  <si>
    <t>CIL337</t>
  </si>
  <si>
    <t>7.5mm</t>
  </si>
  <si>
    <t>1.9 / 2.6 / 4.0</t>
  </si>
  <si>
    <t>3MP / 8MP / 8MP</t>
  </si>
  <si>
    <t>June 12 ,2025
v14</t>
  </si>
  <si>
    <t xml:space="preserve"> -13% F-Θ </t>
  </si>
  <si>
    <t>CIL092</t>
  </si>
  <si>
    <t>34.5mm</t>
  </si>
  <si>
    <t>CIL075</t>
  </si>
  <si>
    <t>75.0mm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</si>
</sst>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-Apple-System"/>
      <charset val="1"/>
    </font>
    <font>
      <sz val="11"/>
      <color theme="1"/>
      <name val="Calibri"/>
      <family val="2"/>
    </font>
    <font>
      <b/>
      <sz val="11"/>
      <color rgb="FF201F1E"/>
      <name val="Calibri"/>
      <family val="2"/>
    </font>
    <font>
      <b/>
      <sz val="11"/>
      <color theme="1"/>
      <name val="Calibri"/>
      <family val="2"/>
    </font>
    <font>
      <b/>
      <sz val="11"/>
      <color rgb="FF212529"/>
      <name val="Calibri"/>
      <family val="2"/>
    </font>
    <font>
      <u/>
      <sz val="11"/>
      <color theme="10"/>
      <name val="Calibri"/>
      <family val="2"/>
    </font>
    <font>
      <sz val="11"/>
      <color rgb="FF212529"/>
      <name val="Calibri"/>
      <family val="2"/>
    </font>
    <font>
      <sz val="11"/>
      <color rgb="FF21252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rgb="FF212529"/>
      <name val="Calibri"/>
    </font>
    <font>
      <sz val="11"/>
      <color rgb="FFFF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6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ck">
        <color rgb="FFDEE2E6"/>
      </bottom>
      <diagonal/>
    </border>
    <border>
      <left/>
      <right/>
      <top/>
      <bottom style="thin">
        <color rgb="FFDEE2E6"/>
      </bottom>
      <diagonal/>
    </border>
    <border>
      <left style="thin">
        <color rgb="FF000000"/>
      </left>
      <right/>
      <top/>
      <bottom style="thin">
        <color rgb="FFDEE2E6"/>
      </bottom>
      <diagonal/>
    </border>
    <border>
      <left style="thin">
        <color rgb="FF000000"/>
      </left>
      <right style="thin">
        <color rgb="FFDEE2E6"/>
      </right>
      <top style="thin">
        <color rgb="FFDEE2E6"/>
      </top>
      <bottom style="thick">
        <color rgb="FFDEE2E6"/>
      </bottom>
      <diagonal/>
    </border>
    <border>
      <left style="thin">
        <color rgb="FF000000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ck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000000"/>
      </right>
      <top/>
      <bottom style="thin">
        <color rgb="FFDEE2E6"/>
      </bottom>
      <diagonal/>
    </border>
    <border>
      <left style="thin">
        <color rgb="FFDEE2E6"/>
      </left>
      <right style="thin">
        <color rgb="FF000000"/>
      </right>
      <top style="thin">
        <color rgb="FFDEE2E6"/>
      </top>
      <bottom style="thick">
        <color rgb="FFDEE2E6"/>
      </bottom>
      <diagonal/>
    </border>
    <border>
      <left style="thin">
        <color rgb="FFDEE2E6"/>
      </left>
      <right style="thin">
        <color rgb="FF000000"/>
      </right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ck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indexed="64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/>
      <right/>
      <top style="thin">
        <color rgb="FFDEE2E6"/>
      </top>
      <bottom style="thick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 style="thin">
        <color indexed="64"/>
      </left>
      <right/>
      <top/>
      <bottom style="thin">
        <color rgb="FFDEE2E6"/>
      </bottom>
      <diagonal/>
    </border>
    <border>
      <left style="thin">
        <color indexed="64"/>
      </left>
      <right style="thin">
        <color rgb="FFDEE2E6"/>
      </right>
      <top style="thin">
        <color rgb="FFDEE2E6"/>
      </top>
      <bottom style="thick">
        <color rgb="FFDEE2E6"/>
      </bottom>
      <diagonal/>
    </border>
    <border>
      <left style="thin">
        <color indexed="64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 style="thin">
        <color rgb="FFDEE2E6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000000"/>
      </right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indexed="64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000000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/>
      <bottom style="thick">
        <color rgb="FFDEE2E6"/>
      </bottom>
      <diagonal/>
    </border>
    <border>
      <left style="thin">
        <color rgb="FFDEE2E6"/>
      </left>
      <right/>
      <top/>
      <bottom/>
      <diagonal/>
    </border>
    <border>
      <left/>
      <right/>
      <top/>
      <bottom style="thick">
        <color rgb="FFDEE2E6"/>
      </bottom>
      <diagonal/>
    </border>
    <border>
      <left style="thin">
        <color rgb="FFDEE2E6"/>
      </left>
      <right/>
      <top/>
      <bottom style="thick">
        <color rgb="FFDEE2E6"/>
      </bottom>
      <diagonal/>
    </border>
    <border>
      <left style="thin">
        <color indexed="64"/>
      </left>
      <right style="thin">
        <color rgb="FFDEE2E6"/>
      </right>
      <top/>
      <bottom style="thick">
        <color rgb="FFDEE2E6"/>
      </bottom>
      <diagonal/>
    </border>
    <border>
      <left style="thin">
        <color rgb="FFDEE2E6"/>
      </left>
      <right style="thin">
        <color indexed="64"/>
      </right>
      <top/>
      <bottom style="thick">
        <color rgb="FFDEE2E6"/>
      </bottom>
      <diagonal/>
    </border>
    <border>
      <left style="thin">
        <color rgb="FFDEE2E6"/>
      </left>
      <right style="thin">
        <color indexed="64"/>
      </right>
      <top style="thin">
        <color rgb="FFDEE2E6"/>
      </top>
      <bottom/>
      <diagonal/>
    </border>
    <border>
      <left style="thin">
        <color indexed="64"/>
      </left>
      <right/>
      <top style="thin">
        <color rgb="FFDEE2E6"/>
      </top>
      <bottom/>
      <diagonal/>
    </border>
    <border>
      <left/>
      <right style="thin">
        <color rgb="FFDEE2E6"/>
      </right>
      <top/>
      <bottom style="thick">
        <color rgb="FFDEE2E6"/>
      </bottom>
      <diagonal/>
    </border>
    <border>
      <left style="thin">
        <color rgb="FFDEE2E6"/>
      </left>
      <right style="thin">
        <color rgb="FFDEE2E6"/>
      </right>
      <top/>
      <bottom/>
      <diagonal/>
    </border>
    <border>
      <left style="thin">
        <color indexed="64"/>
      </left>
      <right style="thin">
        <color rgb="FFDEE2E6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DEE2E6"/>
      </left>
      <right style="thin">
        <color rgb="FF000000"/>
      </right>
      <top/>
      <bottom style="thin">
        <color rgb="FFDEE2E6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0" applyFont="1" applyFill="1" applyBorder="1" applyAlignment="1">
      <alignment wrapText="1"/>
    </xf>
    <xf numFmtId="0" fontId="2" fillId="2" borderId="1" xfId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16" xfId="0" applyFont="1" applyFill="1" applyBorder="1" applyAlignment="1">
      <alignment wrapText="1"/>
    </xf>
    <xf numFmtId="0" fontId="4" fillId="0" borderId="3" xfId="0" applyFont="1" applyBorder="1" applyAlignment="1">
      <alignment horizontal="center" wrapText="1"/>
    </xf>
    <xf numFmtId="15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2" fillId="0" borderId="1" xfId="1" applyFill="1" applyBorder="1" applyAlignment="1">
      <alignment horizontal="center" wrapText="1"/>
    </xf>
    <xf numFmtId="0" fontId="8" fillId="0" borderId="1" xfId="1" applyFont="1" applyFill="1" applyBorder="1" applyAlignment="1">
      <alignment horizontal="center" wrapText="1"/>
    </xf>
    <xf numFmtId="0" fontId="2" fillId="0" borderId="15" xfId="1" applyFill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8" fillId="0" borderId="15" xfId="1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7" fillId="0" borderId="32" xfId="0" applyFont="1" applyBorder="1" applyAlignment="1">
      <alignment wrapText="1"/>
    </xf>
    <xf numFmtId="0" fontId="7" fillId="0" borderId="36" xfId="0" applyFont="1" applyBorder="1" applyAlignment="1">
      <alignment horizontal="center" wrapText="1"/>
    </xf>
    <xf numFmtId="0" fontId="7" fillId="0" borderId="33" xfId="0" applyFont="1" applyBorder="1" applyAlignment="1">
      <alignment wrapText="1"/>
    </xf>
    <xf numFmtId="0" fontId="7" fillId="0" borderId="37" xfId="0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7" fillId="0" borderId="34" xfId="0" applyFont="1" applyBorder="1" applyAlignment="1">
      <alignment wrapText="1"/>
    </xf>
    <xf numFmtId="0" fontId="7" fillId="0" borderId="17" xfId="0" applyFont="1" applyBorder="1" applyAlignment="1">
      <alignment wrapText="1"/>
    </xf>
    <xf numFmtId="164" fontId="9" fillId="0" borderId="26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8" xfId="0" quotePrefix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164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wrapText="1"/>
    </xf>
    <xf numFmtId="164" fontId="9" fillId="0" borderId="21" xfId="0" applyNumberFormat="1" applyFont="1" applyBorder="1" applyAlignment="1">
      <alignment horizontal="center" wrapText="1"/>
    </xf>
    <xf numFmtId="0" fontId="9" fillId="0" borderId="8" xfId="0" quotePrefix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0" fillId="0" borderId="30" xfId="0" applyFont="1" applyBorder="1" applyAlignment="1">
      <alignment horizontal="center" wrapText="1"/>
    </xf>
    <xf numFmtId="0" fontId="9" fillId="0" borderId="24" xfId="0" applyFont="1" applyBorder="1" applyAlignment="1">
      <alignment horizontal="center" wrapText="1"/>
    </xf>
    <xf numFmtId="0" fontId="10" fillId="0" borderId="8" xfId="0" quotePrefix="1" applyFont="1" applyBorder="1" applyAlignment="1">
      <alignment horizontal="center" wrapText="1"/>
    </xf>
    <xf numFmtId="0" fontId="10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wrapText="1"/>
    </xf>
    <xf numFmtId="0" fontId="8" fillId="0" borderId="13" xfId="1" applyFont="1" applyFill="1" applyBorder="1" applyAlignment="1">
      <alignment horizontal="center" wrapText="1"/>
    </xf>
    <xf numFmtId="0" fontId="2" fillId="0" borderId="13" xfId="1" applyFill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2" fillId="3" borderId="1" xfId="1" applyFill="1" applyBorder="1" applyAlignment="1">
      <alignment horizontal="center" wrapText="1"/>
    </xf>
    <xf numFmtId="0" fontId="9" fillId="3" borderId="8" xfId="0" applyFont="1" applyFill="1" applyBorder="1" applyAlignment="1">
      <alignment horizontal="center" wrapText="1"/>
    </xf>
    <xf numFmtId="164" fontId="9" fillId="3" borderId="21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9" fillId="3" borderId="14" xfId="0" applyFont="1" applyFill="1" applyBorder="1" applyAlignment="1">
      <alignment horizontal="center" wrapText="1"/>
    </xf>
    <xf numFmtId="0" fontId="9" fillId="3" borderId="30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0" fillId="3" borderId="0" xfId="0" applyFill="1"/>
    <xf numFmtId="0" fontId="9" fillId="0" borderId="0" xfId="0" quotePrefix="1" applyFont="1" applyAlignment="1">
      <alignment horizontal="center" wrapText="1"/>
    </xf>
    <xf numFmtId="0" fontId="9" fillId="3" borderId="0" xfId="0" quotePrefix="1" applyFont="1" applyFill="1" applyAlignment="1">
      <alignment horizontal="center" wrapText="1"/>
    </xf>
    <xf numFmtId="0" fontId="9" fillId="0" borderId="38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9" fontId="10" fillId="3" borderId="8" xfId="0" quotePrefix="1" applyNumberFormat="1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8" xfId="0" quotePrefix="1" applyFont="1" applyFill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7" fillId="0" borderId="32" xfId="0" applyFont="1" applyBorder="1" applyAlignment="1">
      <alignment horizontal="center" wrapText="1"/>
    </xf>
    <xf numFmtId="0" fontId="7" fillId="0" borderId="42" xfId="0" applyFont="1" applyBorder="1" applyAlignment="1">
      <alignment wrapText="1"/>
    </xf>
    <xf numFmtId="0" fontId="2" fillId="0" borderId="1" xfId="1" applyFill="1" applyBorder="1" applyAlignment="1">
      <alignment horizontal="center"/>
    </xf>
    <xf numFmtId="0" fontId="8" fillId="0" borderId="0" xfId="1" applyFont="1" applyFill="1" applyBorder="1" applyAlignment="1">
      <alignment horizontal="center" wrapText="1"/>
    </xf>
    <xf numFmtId="0" fontId="0" fillId="4" borderId="0" xfId="0" applyFill="1"/>
    <xf numFmtId="0" fontId="0" fillId="5" borderId="0" xfId="0" applyFill="1"/>
    <xf numFmtId="164" fontId="9" fillId="3" borderId="2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2" fillId="0" borderId="0" xfId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9" fontId="9" fillId="3" borderId="8" xfId="0" applyNumberFormat="1" applyFont="1" applyFill="1" applyBorder="1" applyAlignment="1">
      <alignment horizontal="center" wrapText="1"/>
    </xf>
    <xf numFmtId="0" fontId="16" fillId="0" borderId="0" xfId="0" applyFont="1"/>
    <xf numFmtId="0" fontId="7" fillId="0" borderId="20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0" borderId="26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27" xfId="0" applyFont="1" applyBorder="1" applyAlignment="1">
      <alignment horizontal="center" wrapText="1"/>
    </xf>
    <xf numFmtId="0" fontId="9" fillId="0" borderId="28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9" fillId="0" borderId="15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9" fillId="0" borderId="3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" xfId="1" applyFill="1" applyBorder="1" applyAlignment="1">
      <alignment wrapText="1"/>
    </xf>
    <xf numFmtId="0" fontId="19" fillId="0" borderId="8" xfId="1" applyFont="1" applyFill="1" applyBorder="1" applyAlignment="1">
      <alignment horizontal="center" wrapText="1"/>
    </xf>
    <xf numFmtId="164" fontId="20" fillId="0" borderId="2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/>
    <xf numFmtId="0" fontId="19" fillId="0" borderId="28" xfId="1" applyFont="1" applyFill="1" applyBorder="1" applyAlignment="1">
      <alignment horizont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wrapText="1"/>
    </xf>
    <xf numFmtId="0" fontId="20" fillId="0" borderId="25" xfId="0" applyFont="1" applyBorder="1" applyAlignment="1">
      <alignment horizontal="center" vertical="center" wrapText="1"/>
    </xf>
    <xf numFmtId="164" fontId="20" fillId="0" borderId="26" xfId="0" applyNumberFormat="1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wrapText="1"/>
    </xf>
    <xf numFmtId="0" fontId="20" fillId="0" borderId="28" xfId="1" applyFont="1" applyFill="1" applyBorder="1" applyAlignment="1">
      <alignment horizontal="center" wrapText="1"/>
    </xf>
    <xf numFmtId="164" fontId="20" fillId="0" borderId="21" xfId="0" applyNumberFormat="1" applyFont="1" applyBorder="1" applyAlignment="1">
      <alignment horizontal="center" wrapText="1"/>
    </xf>
    <xf numFmtId="0" fontId="20" fillId="0" borderId="30" xfId="0" applyFont="1" applyBorder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0" fillId="0" borderId="30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/>
    </xf>
    <xf numFmtId="0" fontId="20" fillId="0" borderId="41" xfId="0" applyFont="1" applyBorder="1" applyAlignment="1">
      <alignment horizontal="center" wrapText="1"/>
    </xf>
    <xf numFmtId="0" fontId="21" fillId="0" borderId="1" xfId="1" applyFont="1" applyFill="1" applyBorder="1" applyAlignment="1">
      <alignment horizontal="center" wrapText="1"/>
    </xf>
    <xf numFmtId="0" fontId="17" fillId="0" borderId="13" xfId="1" applyFont="1" applyFill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41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wrapText="1"/>
    </xf>
    <xf numFmtId="164" fontId="20" fillId="0" borderId="42" xfId="0" applyNumberFormat="1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wrapText="1"/>
    </xf>
    <xf numFmtId="0" fontId="9" fillId="0" borderId="25" xfId="0" applyFont="1" applyBorder="1" applyAlignment="1">
      <alignment horizontal="center" wrapText="1"/>
    </xf>
    <xf numFmtId="0" fontId="20" fillId="0" borderId="13" xfId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23" fillId="0" borderId="0" xfId="1" applyFont="1" applyFill="1" applyBorder="1" applyAlignment="1">
      <alignment horizontal="center" wrapText="1"/>
    </xf>
    <xf numFmtId="0" fontId="23" fillId="0" borderId="15" xfId="1" applyFont="1" applyFill="1" applyBorder="1" applyAlignment="1">
      <alignment horizontal="center" wrapText="1"/>
    </xf>
    <xf numFmtId="0" fontId="23" fillId="0" borderId="1" xfId="1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6" xfId="0" applyFont="1" applyFill="1" applyBorder="1" applyAlignment="1">
      <alignment horizontal="center" wrapText="1"/>
    </xf>
    <xf numFmtId="10" fontId="9" fillId="0" borderId="8" xfId="0" applyNumberFormat="1" applyFont="1" applyBorder="1" applyAlignment="1">
      <alignment horizontal="center" wrapText="1"/>
    </xf>
    <xf numFmtId="0" fontId="10" fillId="3" borderId="8" xfId="0" quotePrefix="1" applyFont="1" applyFill="1" applyBorder="1" applyAlignment="1">
      <alignment horizontal="center" wrapText="1"/>
    </xf>
    <xf numFmtId="0" fontId="23" fillId="0" borderId="1" xfId="1" applyFont="1" applyFill="1" applyBorder="1" applyAlignment="1">
      <alignment horizontal="center"/>
    </xf>
    <xf numFmtId="0" fontId="19" fillId="0" borderId="0" xfId="1" applyFont="1" applyFill="1" applyBorder="1" applyAlignment="1">
      <alignment horizontal="center" wrapText="1"/>
    </xf>
    <xf numFmtId="0" fontId="19" fillId="0" borderId="13" xfId="1" applyFont="1" applyFill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0" fillId="0" borderId="0" xfId="0" applyFont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wrapText="1"/>
    </xf>
    <xf numFmtId="0" fontId="18" fillId="0" borderId="18" xfId="0" quotePrefix="1" applyFont="1" applyBorder="1" applyAlignment="1">
      <alignment horizontal="center" wrapText="1"/>
    </xf>
    <xf numFmtId="0" fontId="18" fillId="0" borderId="28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9" fillId="0" borderId="1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9" fontId="10" fillId="0" borderId="8" xfId="0" quotePrefix="1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13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2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15" fontId="14" fillId="0" borderId="0" xfId="0" applyNumberFormat="1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" fillId="6" borderId="1" xfId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164" fontId="9" fillId="6" borderId="21" xfId="0" applyNumberFormat="1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 wrapText="1"/>
    </xf>
    <xf numFmtId="0" fontId="10" fillId="6" borderId="8" xfId="0" quotePrefix="1" applyFont="1" applyFill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0" fillId="6" borderId="14" xfId="0" applyFont="1" applyFill="1" applyBorder="1" applyAlignment="1">
      <alignment horizontal="center" wrapText="1"/>
    </xf>
    <xf numFmtId="0" fontId="10" fillId="6" borderId="30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3" xfId="0" applyFont="1" applyFill="1" applyBorder="1" applyAlignment="1">
      <alignment horizontal="center" wrapText="1"/>
    </xf>
    <xf numFmtId="0" fontId="0" fillId="6" borderId="0" xfId="0" applyFill="1"/>
    <xf numFmtId="9" fontId="9" fillId="0" borderId="8" xfId="0" applyNumberFormat="1" applyFont="1" applyBorder="1" applyAlignment="1">
      <alignment horizontal="center" wrapText="1"/>
    </xf>
    <xf numFmtId="0" fontId="2" fillId="0" borderId="1" xfId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quotePrefix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 wrapText="1"/>
    </xf>
    <xf numFmtId="0" fontId="25" fillId="0" borderId="1" xfId="1" applyFont="1" applyFill="1" applyBorder="1" applyAlignment="1">
      <alignment horizontal="center" wrapText="1"/>
    </xf>
    <xf numFmtId="0" fontId="2" fillId="2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monlands.com/cil825" TargetMode="External"/><Relationship Id="rId21" Type="http://schemas.openxmlformats.org/officeDocument/2006/relationships/hyperlink" Target="https://commonlands.com/cil217" TargetMode="External"/><Relationship Id="rId42" Type="http://schemas.openxmlformats.org/officeDocument/2006/relationships/hyperlink" Target="https://www.commonlands.com/cil333" TargetMode="External"/><Relationship Id="rId47" Type="http://schemas.openxmlformats.org/officeDocument/2006/relationships/hyperlink" Target="https://www.commonlands.com/cil178" TargetMode="External"/><Relationship Id="rId63" Type="http://schemas.openxmlformats.org/officeDocument/2006/relationships/hyperlink" Target="https://commonlands.com/products/wide-angle-4mm-m12-lens-cil343" TargetMode="External"/><Relationship Id="rId68" Type="http://schemas.openxmlformats.org/officeDocument/2006/relationships/hyperlink" Target="https://commonlands.com/products/8mm-m12-lens-cil085" TargetMode="External"/><Relationship Id="rId16" Type="http://schemas.openxmlformats.org/officeDocument/2006/relationships/hyperlink" Target="https://commonlands.com/cil335" TargetMode="External"/><Relationship Id="rId11" Type="http://schemas.openxmlformats.org/officeDocument/2006/relationships/hyperlink" Target="https://commonlands.com/products/wide-angle-no-distortion-m12lens" TargetMode="External"/><Relationship Id="rId32" Type="http://schemas.openxmlformats.org/officeDocument/2006/relationships/hyperlink" Target="https://commonlands.com/cil819" TargetMode="External"/><Relationship Id="rId37" Type="http://schemas.openxmlformats.org/officeDocument/2006/relationships/hyperlink" Target="https://www.commonlands.com/cil239" TargetMode="External"/><Relationship Id="rId53" Type="http://schemas.openxmlformats.org/officeDocument/2006/relationships/hyperlink" Target="https://commonlands.com/cil160" TargetMode="External"/><Relationship Id="rId58" Type="http://schemas.openxmlformats.org/officeDocument/2006/relationships/hyperlink" Target="https://commonlands.com/products/ip69k-wide-angle-m12-lens-cil394" TargetMode="External"/><Relationship Id="rId74" Type="http://schemas.openxmlformats.org/officeDocument/2006/relationships/hyperlink" Target="https://commonlands.com/cil062" TargetMode="External"/><Relationship Id="rId79" Type="http://schemas.openxmlformats.org/officeDocument/2006/relationships/hyperlink" Target="https://commonlands.com/cil104" TargetMode="External"/><Relationship Id="rId5" Type="http://schemas.openxmlformats.org/officeDocument/2006/relationships/hyperlink" Target="https://commonlands.com/cil334" TargetMode="External"/><Relationship Id="rId61" Type="http://schemas.openxmlformats.org/officeDocument/2006/relationships/hyperlink" Target="https://commonlands.com/products/wide-angle-4mm-m12-lens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commonlands.com/cil068" TargetMode="External"/><Relationship Id="rId14" Type="http://schemas.openxmlformats.org/officeDocument/2006/relationships/hyperlink" Target="https://commonlands.com/cil034" TargetMode="External"/><Relationship Id="rId22" Type="http://schemas.openxmlformats.org/officeDocument/2006/relationships/hyperlink" Target="https://commonlands.com/products/low-distortion-m12-lens" TargetMode="External"/><Relationship Id="rId27" Type="http://schemas.openxmlformats.org/officeDocument/2006/relationships/hyperlink" Target="https://commonlands.com/cil327" TargetMode="External"/><Relationship Id="rId30" Type="http://schemas.openxmlformats.org/officeDocument/2006/relationships/hyperlink" Target="https://commonlands.com/cil061" TargetMode="External"/><Relationship Id="rId35" Type="http://schemas.openxmlformats.org/officeDocument/2006/relationships/hyperlink" Target="https://commonlands.com/cil208" TargetMode="External"/><Relationship Id="rId43" Type="http://schemas.openxmlformats.org/officeDocument/2006/relationships/hyperlink" Target="https://www.commonlands.com/cil336" TargetMode="External"/><Relationship Id="rId48" Type="http://schemas.openxmlformats.org/officeDocument/2006/relationships/hyperlink" Target="https://www.commonlands.com/cil142" TargetMode="External"/><Relationship Id="rId56" Type="http://schemas.openxmlformats.org/officeDocument/2006/relationships/hyperlink" Target="https://commonlands.com/products/190degree-fisheye-m12-lens-cil282" TargetMode="External"/><Relationship Id="rId64" Type="http://schemas.openxmlformats.org/officeDocument/2006/relationships/hyperlink" Target="https://commonlands.com/products/small-6mm-lens-cil857" TargetMode="External"/><Relationship Id="rId69" Type="http://schemas.openxmlformats.org/officeDocument/2006/relationships/hyperlink" Target="https://commonlands.com/products/ip67-12mm-m12-lens-cil120" TargetMode="External"/><Relationship Id="rId77" Type="http://schemas.openxmlformats.org/officeDocument/2006/relationships/hyperlink" Target="https://www.commonlands.com/cil330" TargetMode="External"/><Relationship Id="rId8" Type="http://schemas.openxmlformats.org/officeDocument/2006/relationships/hyperlink" Target="https://commonlands.com/cil250" TargetMode="External"/><Relationship Id="rId51" Type="http://schemas.openxmlformats.org/officeDocument/2006/relationships/hyperlink" Target="https://commonlands.com/cil042" TargetMode="External"/><Relationship Id="rId72" Type="http://schemas.openxmlformats.org/officeDocument/2006/relationships/hyperlink" Target="https://commonlands.com/products/ir-corrected-12mm-m12-lens" TargetMode="External"/><Relationship Id="rId80" Type="http://schemas.openxmlformats.org/officeDocument/2006/relationships/hyperlink" Target="https://commonlands.com/cil355" TargetMode="External"/><Relationship Id="rId3" Type="http://schemas.openxmlformats.org/officeDocument/2006/relationships/hyperlink" Target="https://commonlands.com/cil227" TargetMode="External"/><Relationship Id="rId12" Type="http://schemas.openxmlformats.org/officeDocument/2006/relationships/hyperlink" Target="https://commonlands.com/products/wideangle-3mm-lens" TargetMode="External"/><Relationship Id="rId17" Type="http://schemas.openxmlformats.org/officeDocument/2006/relationships/hyperlink" Target="https://commonlands.com/cil039" TargetMode="External"/><Relationship Id="rId25" Type="http://schemas.openxmlformats.org/officeDocument/2006/relationships/hyperlink" Target="https://commonlands.com/cil324" TargetMode="External"/><Relationship Id="rId33" Type="http://schemas.openxmlformats.org/officeDocument/2006/relationships/hyperlink" Target="https://commonlands.com/cil051" TargetMode="External"/><Relationship Id="rId38" Type="http://schemas.openxmlformats.org/officeDocument/2006/relationships/hyperlink" Target="https://www.commonlands.com/cil829" TargetMode="External"/><Relationship Id="rId46" Type="http://schemas.openxmlformats.org/officeDocument/2006/relationships/hyperlink" Target="https://www.commonlands.com/cil078" TargetMode="External"/><Relationship Id="rId59" Type="http://schemas.openxmlformats.org/officeDocument/2006/relationships/hyperlink" Target="https://commonlands.com/products/low-distortion-glass-4mm-m12-lens" TargetMode="External"/><Relationship Id="rId67" Type="http://schemas.openxmlformats.org/officeDocument/2006/relationships/hyperlink" Target="https://commonlands.com/products/automotive-7mm-m12-lens" TargetMode="External"/><Relationship Id="rId20" Type="http://schemas.openxmlformats.org/officeDocument/2006/relationships/hyperlink" Target="https://commonlands.com/cil212" TargetMode="External"/><Relationship Id="rId41" Type="http://schemas.openxmlformats.org/officeDocument/2006/relationships/hyperlink" Target="https://www.commonlands.com/cil030" TargetMode="External"/><Relationship Id="rId54" Type="http://schemas.openxmlformats.org/officeDocument/2006/relationships/hyperlink" Target="https://commonlands.com/products/200degree-fisheye-smount-lens" TargetMode="External"/><Relationship Id="rId62" Type="http://schemas.openxmlformats.org/officeDocument/2006/relationships/hyperlink" Target="https://commonlands.com/products/ip69-m12-lens-automotive-cil341" TargetMode="External"/><Relationship Id="rId70" Type="http://schemas.openxmlformats.org/officeDocument/2006/relationships/hyperlink" Target="https://commonlands.com/products/stereographic-minifisheye-m12-lens-cil293" TargetMode="External"/><Relationship Id="rId75" Type="http://schemas.openxmlformats.org/officeDocument/2006/relationships/hyperlink" Target="https://commonlands.com/cil083" TargetMode="External"/><Relationship Id="rId1" Type="http://schemas.openxmlformats.org/officeDocument/2006/relationships/hyperlink" Target="https://commonlands.com/cil220" TargetMode="External"/><Relationship Id="rId6" Type="http://schemas.openxmlformats.org/officeDocument/2006/relationships/hyperlink" Target="https://commonlands.com/cil046" TargetMode="External"/><Relationship Id="rId15" Type="http://schemas.openxmlformats.org/officeDocument/2006/relationships/hyperlink" Target="https://commonlands.com/cil036" TargetMode="External"/><Relationship Id="rId23" Type="http://schemas.openxmlformats.org/officeDocument/2006/relationships/hyperlink" Target="https://commonlands.com/cil821" TargetMode="External"/><Relationship Id="rId28" Type="http://schemas.openxmlformats.org/officeDocument/2006/relationships/hyperlink" Target="https://commonlands.com/cil344" TargetMode="External"/><Relationship Id="rId36" Type="http://schemas.openxmlformats.org/officeDocument/2006/relationships/hyperlink" Target="https://www.commonlands.com/cil207" TargetMode="External"/><Relationship Id="rId49" Type="http://schemas.openxmlformats.org/officeDocument/2006/relationships/hyperlink" Target="https://www.commonlands.com/cil121" TargetMode="External"/><Relationship Id="rId57" Type="http://schemas.openxmlformats.org/officeDocument/2006/relationships/hyperlink" Target="https://commonlands.com/products/ftheta-wide-angle-m12-lens-cil926" TargetMode="External"/><Relationship Id="rId10" Type="http://schemas.openxmlformats.org/officeDocument/2006/relationships/hyperlink" Target="https://commonlands.com/cil216" TargetMode="External"/><Relationship Id="rId31" Type="http://schemas.openxmlformats.org/officeDocument/2006/relationships/hyperlink" Target="https://commonlands.com/cil872" TargetMode="External"/><Relationship Id="rId44" Type="http://schemas.openxmlformats.org/officeDocument/2006/relationships/hyperlink" Target="https://www.commonlands.com/cil948" TargetMode="External"/><Relationship Id="rId52" Type="http://schemas.openxmlformats.org/officeDocument/2006/relationships/hyperlink" Target="https://www.commonlands.com/cil332" TargetMode="External"/><Relationship Id="rId60" Type="http://schemas.openxmlformats.org/officeDocument/2006/relationships/hyperlink" Target="https://commonlands.com/products/wide-angle-4mm-smount-cil339" TargetMode="External"/><Relationship Id="rId65" Type="http://schemas.openxmlformats.org/officeDocument/2006/relationships/hyperlink" Target="https://commonlands.com/products/wide-angle-6mm-m12-lens" TargetMode="External"/><Relationship Id="rId73" Type="http://schemas.openxmlformats.org/officeDocument/2006/relationships/hyperlink" Target="https://commonlands.com/products/stereographic-fisheye-m12-lens" TargetMode="External"/><Relationship Id="rId78" Type="http://schemas.openxmlformats.org/officeDocument/2006/relationships/hyperlink" Target="https://commonlands.com/products/ir-corrected-8mm-m12-lens-cil382" TargetMode="External"/><Relationship Id="rId81" Type="http://schemas.openxmlformats.org/officeDocument/2006/relationships/hyperlink" Target="commonlands.com/cil337" TargetMode="External"/><Relationship Id="rId4" Type="http://schemas.openxmlformats.org/officeDocument/2006/relationships/hyperlink" Target="https://commonlands.com/cil232" TargetMode="External"/><Relationship Id="rId9" Type="http://schemas.openxmlformats.org/officeDocument/2006/relationships/hyperlink" Target="https://commonlands.com/cil350" TargetMode="External"/><Relationship Id="rId13" Type="http://schemas.openxmlformats.org/officeDocument/2006/relationships/hyperlink" Target="https://commonlands.com/cil027" TargetMode="External"/><Relationship Id="rId18" Type="http://schemas.openxmlformats.org/officeDocument/2006/relationships/hyperlink" Target="https://commonlands.com/cil043" TargetMode="External"/><Relationship Id="rId39" Type="http://schemas.openxmlformats.org/officeDocument/2006/relationships/hyperlink" Target="https://www.commonlands.com/cil329" TargetMode="External"/><Relationship Id="rId34" Type="http://schemas.openxmlformats.org/officeDocument/2006/relationships/hyperlink" Target="https://www.commonlands.com/cil818" TargetMode="External"/><Relationship Id="rId50" Type="http://schemas.openxmlformats.org/officeDocument/2006/relationships/hyperlink" Target="https://www.commonlands.com/cil914" TargetMode="External"/><Relationship Id="rId55" Type="http://schemas.openxmlformats.org/officeDocument/2006/relationships/hyperlink" Target="https://commonlands.com/products/200deg-2mm-fisheye-m12-lens" TargetMode="External"/><Relationship Id="rId76" Type="http://schemas.openxmlformats.org/officeDocument/2006/relationships/hyperlink" Target="https://commonlands.com/cil281" TargetMode="External"/><Relationship Id="rId7" Type="http://schemas.openxmlformats.org/officeDocument/2006/relationships/hyperlink" Target="https://commonlands.com/cil125" TargetMode="External"/><Relationship Id="rId71" Type="http://schemas.openxmlformats.org/officeDocument/2006/relationships/hyperlink" Target="https://commonlands.com/products/glass-low-distortion-3mm-m12-lens" TargetMode="External"/><Relationship Id="rId2" Type="http://schemas.openxmlformats.org/officeDocument/2006/relationships/hyperlink" Target="https://commonlands.com/products/fisheye-2mm-m12-lens" TargetMode="External"/><Relationship Id="rId29" Type="http://schemas.openxmlformats.org/officeDocument/2006/relationships/hyperlink" Target="https://commonlands.com/cil045" TargetMode="External"/><Relationship Id="rId24" Type="http://schemas.openxmlformats.org/officeDocument/2006/relationships/hyperlink" Target="https://commonlands.com/cil222" TargetMode="External"/><Relationship Id="rId40" Type="http://schemas.openxmlformats.org/officeDocument/2006/relationships/hyperlink" Target="https://www.commonlands.com/cil330" TargetMode="External"/><Relationship Id="rId45" Type="http://schemas.openxmlformats.org/officeDocument/2006/relationships/hyperlink" Target="https://www.commonlands.com/cil079" TargetMode="External"/><Relationship Id="rId66" Type="http://schemas.openxmlformats.org/officeDocument/2006/relationships/hyperlink" Target="https://commonlands.com/products/low-distortion-6mm-m12-lens-cil05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mmonlands.com/products/16mm-c-mount-lens" TargetMode="External"/><Relationship Id="rId13" Type="http://schemas.openxmlformats.org/officeDocument/2006/relationships/hyperlink" Target="https://commonlands.com/products/5mm-c-mount-fisheye-lens" TargetMode="External"/><Relationship Id="rId18" Type="http://schemas.openxmlformats.org/officeDocument/2006/relationships/hyperlink" Target="https://commonlands.com/cil522" TargetMode="External"/><Relationship Id="rId26" Type="http://schemas.openxmlformats.org/officeDocument/2006/relationships/hyperlink" Target="https://commonlands.com/cil556" TargetMode="External"/><Relationship Id="rId3" Type="http://schemas.openxmlformats.org/officeDocument/2006/relationships/hyperlink" Target="https://commonlands.com/cil513" TargetMode="External"/><Relationship Id="rId21" Type="http://schemas.openxmlformats.org/officeDocument/2006/relationships/hyperlink" Target="https://commonlands.com/cil526" TargetMode="External"/><Relationship Id="rId7" Type="http://schemas.openxmlformats.org/officeDocument/2006/relationships/hyperlink" Target="https://commonlands.com/products/12mm-cmount-lens-cil532" TargetMode="External"/><Relationship Id="rId12" Type="http://schemas.openxmlformats.org/officeDocument/2006/relationships/hyperlink" Target="https://www.commonlands.com/cil544" TargetMode="External"/><Relationship Id="rId17" Type="http://schemas.openxmlformats.org/officeDocument/2006/relationships/hyperlink" Target="https://commonlands.com/cil521" TargetMode="External"/><Relationship Id="rId25" Type="http://schemas.openxmlformats.org/officeDocument/2006/relationships/hyperlink" Target="https://commonlands.com/cil555" TargetMode="External"/><Relationship Id="rId2" Type="http://schemas.openxmlformats.org/officeDocument/2006/relationships/hyperlink" Target="https://commonlands.com/cil512" TargetMode="External"/><Relationship Id="rId16" Type="http://schemas.openxmlformats.org/officeDocument/2006/relationships/hyperlink" Target="https://commonlands.com/products/16mm-c-mount-lens-25mp" TargetMode="External"/><Relationship Id="rId20" Type="http://schemas.openxmlformats.org/officeDocument/2006/relationships/hyperlink" Target="https://commonlands.com/cil525" TargetMode="External"/><Relationship Id="rId1" Type="http://schemas.openxmlformats.org/officeDocument/2006/relationships/hyperlink" Target="https://commonlands.com/cil508" TargetMode="External"/><Relationship Id="rId6" Type="http://schemas.openxmlformats.org/officeDocument/2006/relationships/hyperlink" Target="https://commonlands.com/products/8mm-c-mount-lens-cil531" TargetMode="External"/><Relationship Id="rId11" Type="http://schemas.openxmlformats.org/officeDocument/2006/relationships/hyperlink" Target="https://commonlands.com/products/50mm-c-mount-lens-cil536" TargetMode="External"/><Relationship Id="rId24" Type="http://schemas.openxmlformats.org/officeDocument/2006/relationships/hyperlink" Target="https://commonlands.com/cil554" TargetMode="External"/><Relationship Id="rId5" Type="http://schemas.openxmlformats.org/officeDocument/2006/relationships/hyperlink" Target="https://commonlands.com/cil514" TargetMode="External"/><Relationship Id="rId15" Type="http://schemas.openxmlformats.org/officeDocument/2006/relationships/hyperlink" Target="https://commonlands.com/products/12mm-c-mount-lens-20mp" TargetMode="External"/><Relationship Id="rId23" Type="http://schemas.openxmlformats.org/officeDocument/2006/relationships/hyperlink" Target="https://commonlands.com/cil552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commonlands.com/products/35mm-c-mount-lens-cil535" TargetMode="External"/><Relationship Id="rId19" Type="http://schemas.openxmlformats.org/officeDocument/2006/relationships/hyperlink" Target="https://commonlands.com/cil523" TargetMode="External"/><Relationship Id="rId4" Type="http://schemas.openxmlformats.org/officeDocument/2006/relationships/hyperlink" Target="https://commonlands.com/cil515" TargetMode="External"/><Relationship Id="rId9" Type="http://schemas.openxmlformats.org/officeDocument/2006/relationships/hyperlink" Target="https://commonlands.com/products/25mm-c-mount-lens-cil534" TargetMode="External"/><Relationship Id="rId14" Type="http://schemas.openxmlformats.org/officeDocument/2006/relationships/hyperlink" Target="https://commonlands.com/products/50mm-c-mount-lens-20mp" TargetMode="External"/><Relationship Id="rId22" Type="http://schemas.openxmlformats.org/officeDocument/2006/relationships/hyperlink" Target="https://commonlands.com/cil545" TargetMode="External"/><Relationship Id="rId27" Type="http://schemas.openxmlformats.org/officeDocument/2006/relationships/hyperlink" Target="https://commonlands.com/products/cil5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4DC2-B36E-49D3-970A-9CAA6CD87971}">
  <dimension ref="A1:BV93"/>
  <sheetViews>
    <sheetView tabSelected="1" topLeftCell="A2" zoomScale="70" zoomScaleNormal="70" workbookViewId="0">
      <selection activeCell="G27" sqref="G27"/>
    </sheetView>
  </sheetViews>
  <sheetFormatPr defaultColWidth="9.1796875" defaultRowHeight="14.5"/>
  <cols>
    <col min="1" max="1" width="14.7265625" customWidth="1"/>
    <col min="2" max="2" width="14.453125" customWidth="1"/>
    <col min="3" max="3" width="16.1796875" customWidth="1"/>
    <col min="4" max="4" width="16.7265625" customWidth="1"/>
    <col min="5" max="5" width="18.81640625" customWidth="1"/>
    <col min="6" max="6" width="14.453125" customWidth="1"/>
    <col min="7" max="7" width="14.26953125" customWidth="1"/>
    <col min="8" max="8" width="13.453125" customWidth="1"/>
    <col min="9" max="9" width="20" customWidth="1"/>
    <col min="10" max="10" width="13.81640625" customWidth="1"/>
    <col min="11" max="14" width="12.54296875" customWidth="1"/>
    <col min="15" max="15" width="18" customWidth="1"/>
    <col min="16" max="16" width="28.26953125" customWidth="1"/>
    <col min="17" max="17" width="11.453125" customWidth="1"/>
    <col min="18" max="18" width="9.1796875" customWidth="1"/>
    <col min="19" max="19" width="12.81640625" customWidth="1"/>
    <col min="20" max="20" width="11.54296875" customWidth="1"/>
    <col min="21" max="21" width="11.1796875" customWidth="1"/>
    <col min="22" max="22" width="11.453125" customWidth="1"/>
    <col min="23" max="23" width="14.54296875" customWidth="1"/>
    <col min="24" max="24" width="9.1796875" customWidth="1"/>
    <col min="25" max="25" width="13.453125" customWidth="1"/>
    <col min="26" max="26" width="11" customWidth="1"/>
    <col min="27" max="28" width="12.453125" customWidth="1"/>
    <col min="29" max="30" width="10.54296875" customWidth="1"/>
    <col min="31" max="31" width="11.54296875" customWidth="1"/>
    <col min="32" max="32" width="12.453125" customWidth="1"/>
    <col min="33" max="33" width="9.1796875" customWidth="1"/>
    <col min="34" max="34" width="12.54296875" customWidth="1"/>
  </cols>
  <sheetData>
    <row r="1" spans="1:74" ht="31.5" customHeight="1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61"/>
    </row>
    <row r="2" spans="1:74" ht="22.5" customHeight="1">
      <c r="A2" s="204" t="s">
        <v>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161"/>
    </row>
    <row r="3" spans="1:74" ht="36" customHeight="1">
      <c r="A3" s="203" t="s">
        <v>742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68"/>
      <c r="S3" s="93"/>
    </row>
    <row r="4" spans="1:74" ht="44.5" customHeight="1">
      <c r="A4" s="191" t="s">
        <v>3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4" t="s">
        <v>4</v>
      </c>
      <c r="Q4" s="192" t="s">
        <v>5</v>
      </c>
      <c r="R4" s="192"/>
      <c r="S4" s="192"/>
    </row>
    <row r="5" spans="1:74" ht="22.5" customHeight="1">
      <c r="A5" s="193" t="s">
        <v>6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6"/>
      <c r="Q5" s="194" t="s">
        <v>7</v>
      </c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</row>
    <row r="6" spans="1:74" ht="19.5" customHeight="1">
      <c r="A6" s="7"/>
      <c r="B6" s="7"/>
      <c r="C6" s="196" t="s">
        <v>8</v>
      </c>
      <c r="D6" s="197"/>
      <c r="E6" s="197"/>
      <c r="F6" s="197"/>
      <c r="G6" s="197"/>
      <c r="H6" s="197"/>
      <c r="I6" s="197"/>
      <c r="J6" s="198"/>
      <c r="K6" s="196" t="s">
        <v>9</v>
      </c>
      <c r="L6" s="197"/>
      <c r="M6" s="197"/>
      <c r="N6" s="197"/>
      <c r="O6" s="198"/>
      <c r="P6" s="5"/>
      <c r="Q6" s="199" t="s">
        <v>10</v>
      </c>
      <c r="R6" s="200"/>
      <c r="S6" s="201"/>
      <c r="T6" s="200" t="s">
        <v>11</v>
      </c>
      <c r="U6" s="200"/>
      <c r="V6" s="200"/>
      <c r="W6" s="189" t="s">
        <v>12</v>
      </c>
      <c r="X6" s="188"/>
      <c r="Y6" s="202"/>
      <c r="Z6" s="188" t="s">
        <v>13</v>
      </c>
      <c r="AA6" s="188"/>
      <c r="AB6" s="188"/>
      <c r="AC6" s="189" t="s">
        <v>14</v>
      </c>
      <c r="AD6" s="188"/>
      <c r="AE6" s="188"/>
      <c r="AF6" s="189" t="s">
        <v>15</v>
      </c>
      <c r="AG6" s="188"/>
      <c r="AH6" s="188"/>
    </row>
    <row r="7" spans="1:74" ht="15" customHeight="1" thickBot="1">
      <c r="A7" s="15" t="s">
        <v>16</v>
      </c>
      <c r="B7" s="72" t="s">
        <v>17</v>
      </c>
      <c r="C7" s="16" t="s">
        <v>18</v>
      </c>
      <c r="D7" s="73" t="s">
        <v>19</v>
      </c>
      <c r="E7" s="73" t="s">
        <v>20</v>
      </c>
      <c r="F7" s="73" t="s">
        <v>21</v>
      </c>
      <c r="G7" s="17" t="s">
        <v>22</v>
      </c>
      <c r="H7" s="17" t="s">
        <v>23</v>
      </c>
      <c r="I7" s="17" t="s">
        <v>24</v>
      </c>
      <c r="J7" s="18" t="s">
        <v>25</v>
      </c>
      <c r="K7" s="19" t="s">
        <v>26</v>
      </c>
      <c r="L7" s="20" t="s">
        <v>27</v>
      </c>
      <c r="M7" s="20" t="s">
        <v>28</v>
      </c>
      <c r="N7" s="20" t="s">
        <v>29</v>
      </c>
      <c r="O7" s="20" t="s">
        <v>30</v>
      </c>
      <c r="P7" s="21" t="s">
        <v>31</v>
      </c>
      <c r="Q7" s="94" t="s">
        <v>32</v>
      </c>
      <c r="R7" s="95" t="s">
        <v>33</v>
      </c>
      <c r="S7" s="96" t="s">
        <v>34</v>
      </c>
      <c r="T7" s="97" t="s">
        <v>32</v>
      </c>
      <c r="U7" s="95" t="s">
        <v>35</v>
      </c>
      <c r="V7" s="98" t="s">
        <v>34</v>
      </c>
      <c r="W7" s="99" t="s">
        <v>32</v>
      </c>
      <c r="X7" s="95" t="s">
        <v>35</v>
      </c>
      <c r="Y7" s="96" t="s">
        <v>34</v>
      </c>
      <c r="Z7" s="97" t="s">
        <v>32</v>
      </c>
      <c r="AA7" s="95" t="s">
        <v>35</v>
      </c>
      <c r="AB7" s="98" t="s">
        <v>34</v>
      </c>
      <c r="AC7" s="99" t="s">
        <v>32</v>
      </c>
      <c r="AD7" s="95" t="s">
        <v>35</v>
      </c>
      <c r="AE7" s="98" t="s">
        <v>34</v>
      </c>
      <c r="AF7" s="99" t="s">
        <v>32</v>
      </c>
      <c r="AG7" s="95" t="s">
        <v>35</v>
      </c>
      <c r="AH7" s="95" t="s">
        <v>34</v>
      </c>
    </row>
    <row r="8" spans="1:74" ht="15" customHeight="1" thickTop="1">
      <c r="A8" s="10" t="s">
        <v>36</v>
      </c>
      <c r="B8" s="11" t="s">
        <v>37</v>
      </c>
      <c r="C8" s="22">
        <v>0.8</v>
      </c>
      <c r="D8" s="23">
        <v>1.9</v>
      </c>
      <c r="E8" s="23" t="s">
        <v>38</v>
      </c>
      <c r="F8" s="24" t="s">
        <v>39</v>
      </c>
      <c r="G8" s="31" t="s">
        <v>40</v>
      </c>
      <c r="H8" s="25" t="s">
        <v>41</v>
      </c>
      <c r="I8" s="25" t="s">
        <v>42</v>
      </c>
      <c r="J8" s="67" t="s">
        <v>43</v>
      </c>
      <c r="K8" s="26" t="s">
        <v>44</v>
      </c>
      <c r="L8" s="25" t="s">
        <v>45</v>
      </c>
      <c r="M8" s="27" t="s">
        <v>46</v>
      </c>
      <c r="N8" s="25" t="s">
        <v>47</v>
      </c>
      <c r="O8" s="28" t="s">
        <v>48</v>
      </c>
      <c r="P8" s="29">
        <v>1.4</v>
      </c>
      <c r="Q8" s="100" t="s">
        <v>49</v>
      </c>
      <c r="R8" s="101">
        <v>155</v>
      </c>
      <c r="S8" s="102" t="s">
        <v>50</v>
      </c>
      <c r="T8" s="103" t="s">
        <v>51</v>
      </c>
      <c r="U8" s="101" t="s">
        <v>49</v>
      </c>
      <c r="V8" s="104" t="s">
        <v>52</v>
      </c>
      <c r="W8" s="105" t="s">
        <v>53</v>
      </c>
      <c r="X8" s="106" t="s">
        <v>54</v>
      </c>
      <c r="Y8" s="107" t="s">
        <v>55</v>
      </c>
      <c r="Z8" s="108"/>
      <c r="AA8" s="109"/>
      <c r="AB8" s="110"/>
      <c r="AC8" s="111"/>
      <c r="AD8" s="109"/>
      <c r="AE8" s="110"/>
      <c r="AF8" s="111"/>
      <c r="AG8" s="109"/>
      <c r="AH8" s="109"/>
    </row>
    <row r="9" spans="1:74" ht="15" customHeight="1">
      <c r="A9" s="10" t="s">
        <v>56</v>
      </c>
      <c r="B9" s="11" t="s">
        <v>37</v>
      </c>
      <c r="C9" s="22">
        <v>0.9</v>
      </c>
      <c r="D9" s="23">
        <v>2.2000000000000002</v>
      </c>
      <c r="E9" s="23" t="s">
        <v>57</v>
      </c>
      <c r="F9" s="24" t="s">
        <v>58</v>
      </c>
      <c r="G9" s="31" t="s">
        <v>40</v>
      </c>
      <c r="H9" s="25" t="s">
        <v>59</v>
      </c>
      <c r="I9" s="25" t="s">
        <v>42</v>
      </c>
      <c r="J9" s="67" t="s">
        <v>60</v>
      </c>
      <c r="K9" s="26" t="s">
        <v>61</v>
      </c>
      <c r="L9" s="25" t="s">
        <v>62</v>
      </c>
      <c r="M9" s="27" t="s">
        <v>63</v>
      </c>
      <c r="N9" s="25" t="s">
        <v>47</v>
      </c>
      <c r="O9" s="28" t="s">
        <v>48</v>
      </c>
      <c r="P9" s="29">
        <v>3.1</v>
      </c>
      <c r="Q9" s="30" t="s">
        <v>64</v>
      </c>
      <c r="R9" s="31">
        <v>181</v>
      </c>
      <c r="S9" s="112" t="s">
        <v>65</v>
      </c>
      <c r="T9" s="85" t="s">
        <v>62</v>
      </c>
      <c r="U9" s="85" t="s">
        <v>62</v>
      </c>
      <c r="V9" s="85" t="s">
        <v>62</v>
      </c>
      <c r="W9" s="85" t="s">
        <v>62</v>
      </c>
      <c r="X9" s="85" t="s">
        <v>62</v>
      </c>
      <c r="Y9" s="85" t="s">
        <v>62</v>
      </c>
      <c r="Z9" s="85" t="s">
        <v>62</v>
      </c>
      <c r="AA9" s="85" t="s">
        <v>62</v>
      </c>
      <c r="AB9" s="85" t="s">
        <v>62</v>
      </c>
      <c r="AC9" s="85" t="s">
        <v>62</v>
      </c>
      <c r="AD9" s="85" t="s">
        <v>62</v>
      </c>
      <c r="AE9" s="85" t="s">
        <v>62</v>
      </c>
      <c r="AF9" s="85" t="s">
        <v>62</v>
      </c>
      <c r="AG9" s="85" t="s">
        <v>62</v>
      </c>
      <c r="AH9" s="85" t="s">
        <v>62</v>
      </c>
    </row>
    <row r="10" spans="1:74" ht="15" customHeight="1">
      <c r="A10" s="12" t="s">
        <v>66</v>
      </c>
      <c r="B10" s="11" t="s">
        <v>37</v>
      </c>
      <c r="C10" s="22">
        <v>1.1000000000000001</v>
      </c>
      <c r="D10" s="23">
        <v>2.2000000000000002</v>
      </c>
      <c r="E10" s="23" t="s">
        <v>67</v>
      </c>
      <c r="F10" s="24" t="s">
        <v>68</v>
      </c>
      <c r="G10" s="31" t="s">
        <v>40</v>
      </c>
      <c r="H10" s="25" t="s">
        <v>69</v>
      </c>
      <c r="I10" s="25" t="s">
        <v>70</v>
      </c>
      <c r="J10" s="67" t="s">
        <v>71</v>
      </c>
      <c r="K10" s="26" t="s">
        <v>72</v>
      </c>
      <c r="L10" s="25" t="s">
        <v>62</v>
      </c>
      <c r="M10" s="27" t="s">
        <v>46</v>
      </c>
      <c r="N10" s="25" t="s">
        <v>47</v>
      </c>
      <c r="O10" s="28" t="s">
        <v>48</v>
      </c>
      <c r="P10" s="29">
        <v>3.8</v>
      </c>
      <c r="Q10" s="30" t="s">
        <v>73</v>
      </c>
      <c r="R10" s="31">
        <v>146</v>
      </c>
      <c r="S10" s="112" t="s">
        <v>74</v>
      </c>
      <c r="T10" s="85" t="s">
        <v>75</v>
      </c>
      <c r="U10" s="85" t="s">
        <v>73</v>
      </c>
      <c r="V10" s="32" t="s">
        <v>76</v>
      </c>
      <c r="W10" s="85" t="s">
        <v>77</v>
      </c>
      <c r="X10" s="85" t="s">
        <v>78</v>
      </c>
      <c r="Y10" s="32" t="s">
        <v>79</v>
      </c>
      <c r="Z10" s="85" t="s">
        <v>62</v>
      </c>
      <c r="AA10" s="85" t="s">
        <v>62</v>
      </c>
      <c r="AB10" s="32" t="s">
        <v>62</v>
      </c>
      <c r="AC10" s="85" t="s">
        <v>62</v>
      </c>
      <c r="AD10" s="85" t="s">
        <v>62</v>
      </c>
      <c r="AE10" s="32" t="s">
        <v>62</v>
      </c>
      <c r="AF10" s="85" t="s">
        <v>62</v>
      </c>
      <c r="AG10" s="85" t="s">
        <v>62</v>
      </c>
      <c r="AH10" s="85" t="s">
        <v>62</v>
      </c>
    </row>
    <row r="11" spans="1:74" ht="15" customHeight="1">
      <c r="A11" s="84" t="s">
        <v>85</v>
      </c>
      <c r="B11" s="11" t="s">
        <v>37</v>
      </c>
      <c r="C11" s="22">
        <v>1.3</v>
      </c>
      <c r="D11" s="23">
        <v>2</v>
      </c>
      <c r="E11" s="23" t="s">
        <v>86</v>
      </c>
      <c r="F11" s="24" t="s">
        <v>87</v>
      </c>
      <c r="G11" s="31" t="s">
        <v>40</v>
      </c>
      <c r="H11" s="25" t="s">
        <v>88</v>
      </c>
      <c r="I11" s="25" t="s">
        <v>89</v>
      </c>
      <c r="J11" s="67" t="s">
        <v>90</v>
      </c>
      <c r="K11" s="26" t="s">
        <v>91</v>
      </c>
      <c r="L11" s="25" t="s">
        <v>92</v>
      </c>
      <c r="M11" s="27" t="s">
        <v>46</v>
      </c>
      <c r="N11" s="25" t="s">
        <v>47</v>
      </c>
      <c r="O11" s="28" t="s">
        <v>48</v>
      </c>
      <c r="P11" s="29">
        <v>2.2000000000000002</v>
      </c>
      <c r="Q11" s="30" t="s">
        <v>93</v>
      </c>
      <c r="R11" s="31">
        <v>106</v>
      </c>
      <c r="S11" s="32" t="s">
        <v>94</v>
      </c>
      <c r="T11" s="85" t="s">
        <v>95</v>
      </c>
      <c r="U11" s="85" t="s">
        <v>93</v>
      </c>
      <c r="V11" s="32" t="s">
        <v>96</v>
      </c>
      <c r="W11" s="85" t="s">
        <v>97</v>
      </c>
      <c r="X11" s="85" t="s">
        <v>98</v>
      </c>
      <c r="Y11" s="32" t="s">
        <v>99</v>
      </c>
      <c r="Z11" s="85"/>
      <c r="AA11" s="85"/>
      <c r="AB11" s="32"/>
      <c r="AC11" s="85"/>
      <c r="AD11" s="85"/>
      <c r="AE11" s="32"/>
      <c r="AF11" s="85"/>
      <c r="AG11" s="85"/>
      <c r="AH11" s="85"/>
    </row>
    <row r="12" spans="1:74" s="64" customFormat="1" ht="15" customHeight="1">
      <c r="A12" s="53" t="s">
        <v>100</v>
      </c>
      <c r="B12" s="54" t="s">
        <v>37</v>
      </c>
      <c r="C12" s="55">
        <v>1.3</v>
      </c>
      <c r="D12" s="56">
        <v>2.2000000000000002</v>
      </c>
      <c r="E12" s="56" t="s">
        <v>80</v>
      </c>
      <c r="F12" s="71" t="s">
        <v>101</v>
      </c>
      <c r="G12" s="66" t="s">
        <v>40</v>
      </c>
      <c r="H12" s="57" t="s">
        <v>102</v>
      </c>
      <c r="I12" s="57" t="s">
        <v>42</v>
      </c>
      <c r="J12" s="58" t="s">
        <v>103</v>
      </c>
      <c r="K12" s="59">
        <v>32</v>
      </c>
      <c r="L12" s="57" t="s">
        <v>45</v>
      </c>
      <c r="M12" s="60" t="s">
        <v>104</v>
      </c>
      <c r="N12" s="61" t="s">
        <v>47</v>
      </c>
      <c r="O12" s="62" t="s">
        <v>48</v>
      </c>
      <c r="P12" s="63">
        <v>11</v>
      </c>
      <c r="Q12" s="86" t="s">
        <v>105</v>
      </c>
      <c r="R12" s="87">
        <v>109</v>
      </c>
      <c r="S12" s="88" t="s">
        <v>106</v>
      </c>
      <c r="T12" s="85" t="s">
        <v>107</v>
      </c>
      <c r="U12" s="37" t="s">
        <v>108</v>
      </c>
      <c r="V12" s="11" t="s">
        <v>109</v>
      </c>
      <c r="W12" s="89" t="s">
        <v>110</v>
      </c>
      <c r="X12" s="37" t="s">
        <v>111</v>
      </c>
      <c r="Y12" s="88" t="s">
        <v>112</v>
      </c>
      <c r="Z12" s="85" t="s">
        <v>113</v>
      </c>
      <c r="AA12" s="37" t="s">
        <v>114</v>
      </c>
      <c r="AB12" s="11" t="s">
        <v>115</v>
      </c>
      <c r="AC12" s="89" t="s">
        <v>116</v>
      </c>
      <c r="AD12" s="37" t="s">
        <v>117</v>
      </c>
      <c r="AE12" s="11" t="s">
        <v>118</v>
      </c>
      <c r="AF12" s="89" t="s">
        <v>119</v>
      </c>
      <c r="AG12" s="37" t="s">
        <v>120</v>
      </c>
      <c r="AH12" s="37" t="s">
        <v>121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</row>
    <row r="13" spans="1:74" ht="15" customHeight="1">
      <c r="A13" s="8" t="s">
        <v>122</v>
      </c>
      <c r="B13" s="11" t="s">
        <v>37</v>
      </c>
      <c r="C13" s="33">
        <v>1.4</v>
      </c>
      <c r="D13" s="34">
        <v>2.2999999999999998</v>
      </c>
      <c r="E13" s="34" t="s">
        <v>57</v>
      </c>
      <c r="F13" s="24" t="s">
        <v>123</v>
      </c>
      <c r="G13" s="31" t="s">
        <v>40</v>
      </c>
      <c r="H13" s="25" t="s">
        <v>82</v>
      </c>
      <c r="I13" s="25" t="s">
        <v>124</v>
      </c>
      <c r="J13" s="35" t="s">
        <v>125</v>
      </c>
      <c r="K13" s="36" t="s">
        <v>44</v>
      </c>
      <c r="L13" s="25" t="s">
        <v>45</v>
      </c>
      <c r="M13" s="27" t="s">
        <v>63</v>
      </c>
      <c r="N13" s="25" t="s">
        <v>47</v>
      </c>
      <c r="O13" s="28" t="s">
        <v>48</v>
      </c>
      <c r="P13" s="29">
        <v>2.2000000000000002</v>
      </c>
      <c r="Q13" s="86" t="s">
        <v>94</v>
      </c>
      <c r="R13" s="37">
        <v>113</v>
      </c>
      <c r="S13" s="88" t="s">
        <v>126</v>
      </c>
      <c r="T13" s="85" t="s">
        <v>127</v>
      </c>
      <c r="U13" s="37" t="s">
        <v>94</v>
      </c>
      <c r="V13" s="11" t="s">
        <v>128</v>
      </c>
      <c r="W13" s="89" t="s">
        <v>129</v>
      </c>
      <c r="X13" s="37" t="s">
        <v>108</v>
      </c>
      <c r="Y13" s="88" t="s">
        <v>130</v>
      </c>
      <c r="Z13" s="85"/>
      <c r="AA13" s="37"/>
      <c r="AB13" s="11"/>
      <c r="AC13" s="89"/>
      <c r="AD13" s="37"/>
      <c r="AE13" s="11"/>
      <c r="AF13" s="89"/>
      <c r="AG13" s="37"/>
      <c r="AH13" s="37"/>
    </row>
    <row r="14" spans="1:74" ht="15" customHeight="1">
      <c r="A14" s="9" t="s">
        <v>131</v>
      </c>
      <c r="B14" s="11" t="s">
        <v>37</v>
      </c>
      <c r="C14" s="33">
        <v>1.55</v>
      </c>
      <c r="D14" s="34">
        <v>2.2000000000000002</v>
      </c>
      <c r="E14" s="34" t="s">
        <v>132</v>
      </c>
      <c r="F14" s="24" t="s">
        <v>133</v>
      </c>
      <c r="G14" s="31" t="s">
        <v>40</v>
      </c>
      <c r="H14" s="25" t="s">
        <v>134</v>
      </c>
      <c r="I14" s="25" t="s">
        <v>135</v>
      </c>
      <c r="J14" s="35" t="s">
        <v>136</v>
      </c>
      <c r="K14" s="36" t="s">
        <v>137</v>
      </c>
      <c r="L14" s="25" t="s">
        <v>62</v>
      </c>
      <c r="M14" s="27" t="s">
        <v>63</v>
      </c>
      <c r="N14" s="25" t="s">
        <v>47</v>
      </c>
      <c r="O14" s="28" t="s">
        <v>48</v>
      </c>
      <c r="P14" s="29">
        <v>6.3</v>
      </c>
      <c r="Q14" s="86" t="s">
        <v>138</v>
      </c>
      <c r="R14" s="37">
        <v>103</v>
      </c>
      <c r="S14" s="11" t="s">
        <v>139</v>
      </c>
      <c r="T14" s="85" t="s">
        <v>140</v>
      </c>
      <c r="U14" s="37" t="s">
        <v>138</v>
      </c>
      <c r="V14" s="11" t="s">
        <v>141</v>
      </c>
      <c r="W14" s="85" t="s">
        <v>142</v>
      </c>
      <c r="X14" s="37" t="s">
        <v>143</v>
      </c>
      <c r="Y14" s="11" t="s">
        <v>144</v>
      </c>
      <c r="Z14" s="85" t="s">
        <v>145</v>
      </c>
      <c r="AA14" s="37" t="s">
        <v>146</v>
      </c>
      <c r="AB14" s="11" t="s">
        <v>147</v>
      </c>
      <c r="AC14" s="85" t="s">
        <v>55</v>
      </c>
      <c r="AD14" s="37" t="s">
        <v>148</v>
      </c>
      <c r="AE14" s="11" t="s">
        <v>149</v>
      </c>
      <c r="AF14" s="85" t="s">
        <v>62</v>
      </c>
      <c r="AG14" s="37" t="s">
        <v>62</v>
      </c>
      <c r="AH14" s="101" t="s">
        <v>62</v>
      </c>
    </row>
    <row r="15" spans="1:74" ht="15" customHeight="1">
      <c r="A15" s="9" t="s">
        <v>150</v>
      </c>
      <c r="B15" s="11" t="s">
        <v>37</v>
      </c>
      <c r="C15" s="33">
        <v>1.7</v>
      </c>
      <c r="D15" s="34">
        <v>2.7</v>
      </c>
      <c r="E15" s="34" t="s">
        <v>38</v>
      </c>
      <c r="F15" s="24" t="s">
        <v>151</v>
      </c>
      <c r="G15" s="31" t="s">
        <v>40</v>
      </c>
      <c r="H15" s="25" t="s">
        <v>152</v>
      </c>
      <c r="I15" s="25" t="s">
        <v>153</v>
      </c>
      <c r="J15" s="35" t="s">
        <v>154</v>
      </c>
      <c r="K15" s="36" t="s">
        <v>44</v>
      </c>
      <c r="L15" s="25" t="s">
        <v>45</v>
      </c>
      <c r="M15" s="27" t="s">
        <v>46</v>
      </c>
      <c r="N15" s="25" t="s">
        <v>47</v>
      </c>
      <c r="O15" s="28" t="s">
        <v>48</v>
      </c>
      <c r="P15" s="29">
        <v>1.6</v>
      </c>
      <c r="Q15" s="86" t="s">
        <v>155</v>
      </c>
      <c r="R15" s="37">
        <v>90</v>
      </c>
      <c r="S15" s="39" t="s">
        <v>156</v>
      </c>
      <c r="T15" s="85" t="s">
        <v>114</v>
      </c>
      <c r="U15" s="37" t="s">
        <v>143</v>
      </c>
      <c r="V15" s="39" t="s">
        <v>157</v>
      </c>
      <c r="W15" s="85" t="s">
        <v>158</v>
      </c>
      <c r="X15" s="37" t="s">
        <v>159</v>
      </c>
      <c r="Y15" s="39" t="s">
        <v>160</v>
      </c>
      <c r="Z15" s="85" t="s">
        <v>161</v>
      </c>
      <c r="AA15" s="37" t="s">
        <v>162</v>
      </c>
      <c r="AB15" s="39" t="s">
        <v>163</v>
      </c>
      <c r="AC15" s="85" t="s">
        <v>164</v>
      </c>
      <c r="AD15" s="37" t="s">
        <v>165</v>
      </c>
      <c r="AE15" s="39" t="s">
        <v>166</v>
      </c>
      <c r="AF15" s="85" t="s">
        <v>167</v>
      </c>
      <c r="AG15" s="11" t="s">
        <v>95</v>
      </c>
      <c r="AH15" s="31" t="s">
        <v>168</v>
      </c>
    </row>
    <row r="16" spans="1:74" ht="15" customHeight="1">
      <c r="A16" s="8" t="s">
        <v>169</v>
      </c>
      <c r="B16" s="11" t="s">
        <v>37</v>
      </c>
      <c r="C16" s="33">
        <v>1.7</v>
      </c>
      <c r="D16" s="34">
        <v>2.2000000000000002</v>
      </c>
      <c r="E16" s="34" t="s">
        <v>67</v>
      </c>
      <c r="F16" s="24" t="s">
        <v>170</v>
      </c>
      <c r="G16" s="31" t="s">
        <v>40</v>
      </c>
      <c r="H16" s="25" t="s">
        <v>171</v>
      </c>
      <c r="I16" s="25" t="s">
        <v>70</v>
      </c>
      <c r="J16" s="35" t="s">
        <v>172</v>
      </c>
      <c r="K16" s="36" t="s">
        <v>173</v>
      </c>
      <c r="L16" s="31" t="s">
        <v>62</v>
      </c>
      <c r="M16" s="27" t="s">
        <v>46</v>
      </c>
      <c r="N16" s="25" t="s">
        <v>47</v>
      </c>
      <c r="O16" s="28" t="s">
        <v>48</v>
      </c>
      <c r="P16" s="29">
        <v>1.5</v>
      </c>
      <c r="Q16" s="86" t="s">
        <v>174</v>
      </c>
      <c r="R16" s="37">
        <v>91</v>
      </c>
      <c r="S16" s="39" t="s">
        <v>175</v>
      </c>
      <c r="T16" s="85" t="s">
        <v>84</v>
      </c>
      <c r="U16" s="37" t="s">
        <v>155</v>
      </c>
      <c r="V16" s="39" t="s">
        <v>176</v>
      </c>
      <c r="W16" s="85" t="s">
        <v>177</v>
      </c>
      <c r="X16" s="37" t="s">
        <v>178</v>
      </c>
      <c r="Y16" s="39" t="s">
        <v>179</v>
      </c>
      <c r="Z16" s="85"/>
      <c r="AA16" s="37"/>
      <c r="AB16" s="39"/>
      <c r="AC16" s="85" t="s">
        <v>180</v>
      </c>
      <c r="AD16" s="37" t="s">
        <v>181</v>
      </c>
      <c r="AE16" s="39" t="s">
        <v>182</v>
      </c>
      <c r="AF16" s="85" t="s">
        <v>183</v>
      </c>
      <c r="AG16" s="11" t="s">
        <v>184</v>
      </c>
      <c r="AH16" s="31" t="s">
        <v>185</v>
      </c>
    </row>
    <row r="17" spans="1:74" ht="15" customHeight="1">
      <c r="A17" s="9" t="s">
        <v>186</v>
      </c>
      <c r="B17" s="11" t="s">
        <v>187</v>
      </c>
      <c r="C17" s="40">
        <v>1.8</v>
      </c>
      <c r="D17" s="37">
        <v>2.8</v>
      </c>
      <c r="E17" s="37" t="s">
        <v>67</v>
      </c>
      <c r="F17" s="11" t="s">
        <v>188</v>
      </c>
      <c r="G17" s="31" t="s">
        <v>40</v>
      </c>
      <c r="H17" s="31" t="s">
        <v>189</v>
      </c>
      <c r="I17" s="31" t="s">
        <v>190</v>
      </c>
      <c r="J17" s="39" t="s">
        <v>191</v>
      </c>
      <c r="K17" s="30" t="s">
        <v>192</v>
      </c>
      <c r="L17" s="31" t="s">
        <v>92</v>
      </c>
      <c r="M17" s="32" t="s">
        <v>46</v>
      </c>
      <c r="N17" s="25" t="s">
        <v>47</v>
      </c>
      <c r="O17" s="28" t="s">
        <v>48</v>
      </c>
      <c r="P17" s="29">
        <v>2</v>
      </c>
      <c r="Q17" s="86" t="s">
        <v>193</v>
      </c>
      <c r="R17" s="37">
        <v>75</v>
      </c>
      <c r="S17" s="39" t="s">
        <v>194</v>
      </c>
      <c r="T17" s="85" t="s">
        <v>195</v>
      </c>
      <c r="U17" s="37" t="s">
        <v>193</v>
      </c>
      <c r="V17" s="39" t="s">
        <v>98</v>
      </c>
      <c r="W17" s="85" t="s">
        <v>155</v>
      </c>
      <c r="X17" s="37" t="s">
        <v>196</v>
      </c>
      <c r="Y17" s="39" t="s">
        <v>197</v>
      </c>
      <c r="Z17" s="90" t="s">
        <v>62</v>
      </c>
      <c r="AA17" s="91" t="s">
        <v>62</v>
      </c>
      <c r="AB17" s="113" t="s">
        <v>62</v>
      </c>
      <c r="AC17" s="90" t="s">
        <v>62</v>
      </c>
      <c r="AD17" s="91" t="s">
        <v>62</v>
      </c>
      <c r="AE17" s="113" t="s">
        <v>62</v>
      </c>
      <c r="AF17" s="90" t="s">
        <v>62</v>
      </c>
      <c r="AG17" s="91" t="s">
        <v>62</v>
      </c>
      <c r="AH17" s="114" t="s">
        <v>62</v>
      </c>
    </row>
    <row r="18" spans="1:74" ht="15" customHeight="1">
      <c r="A18" s="8" t="s">
        <v>198</v>
      </c>
      <c r="B18" s="11" t="s">
        <v>37</v>
      </c>
      <c r="C18" s="40">
        <v>1.8</v>
      </c>
      <c r="D18" s="37">
        <v>2</v>
      </c>
      <c r="E18" s="37" t="s">
        <v>80</v>
      </c>
      <c r="F18" s="41" t="s">
        <v>199</v>
      </c>
      <c r="G18" s="65" t="s">
        <v>200</v>
      </c>
      <c r="H18" s="31" t="s">
        <v>201</v>
      </c>
      <c r="I18" s="31" t="s">
        <v>202</v>
      </c>
      <c r="J18" s="39" t="s">
        <v>203</v>
      </c>
      <c r="K18" s="30" t="s">
        <v>204</v>
      </c>
      <c r="L18" s="31" t="s">
        <v>62</v>
      </c>
      <c r="M18" s="32" t="s">
        <v>63</v>
      </c>
      <c r="N18" s="25" t="s">
        <v>47</v>
      </c>
      <c r="O18" s="28" t="s">
        <v>48</v>
      </c>
      <c r="P18" s="29">
        <v>5.6</v>
      </c>
      <c r="Q18" s="86" t="s">
        <v>205</v>
      </c>
      <c r="R18" s="37">
        <v>88</v>
      </c>
      <c r="S18" s="39" t="s">
        <v>206</v>
      </c>
      <c r="T18" s="85" t="s">
        <v>207</v>
      </c>
      <c r="U18" s="115" t="s">
        <v>205</v>
      </c>
      <c r="V18" s="37" t="s">
        <v>208</v>
      </c>
      <c r="W18" s="85" t="s">
        <v>209</v>
      </c>
      <c r="X18" s="37" t="s">
        <v>210</v>
      </c>
      <c r="Y18" s="39" t="s">
        <v>211</v>
      </c>
      <c r="Z18" s="85" t="s">
        <v>212</v>
      </c>
      <c r="AA18" s="37" t="s">
        <v>106</v>
      </c>
      <c r="AB18" s="39" t="s">
        <v>213</v>
      </c>
      <c r="AC18" s="85" t="s">
        <v>214</v>
      </c>
      <c r="AD18" s="37" t="s">
        <v>215</v>
      </c>
      <c r="AE18" s="39" t="s">
        <v>216</v>
      </c>
      <c r="AF18" s="85" t="s">
        <v>217</v>
      </c>
      <c r="AG18" s="37" t="s">
        <v>218</v>
      </c>
      <c r="AH18" s="87" t="s">
        <v>219</v>
      </c>
    </row>
    <row r="19" spans="1:74" ht="15" customHeight="1">
      <c r="A19" s="8" t="s">
        <v>220</v>
      </c>
      <c r="B19" s="11" t="s">
        <v>37</v>
      </c>
      <c r="C19" s="33">
        <v>1.8</v>
      </c>
      <c r="D19" s="34">
        <v>2</v>
      </c>
      <c r="E19" s="34" t="s">
        <v>38</v>
      </c>
      <c r="F19" s="38" t="s">
        <v>221</v>
      </c>
      <c r="G19" s="31" t="s">
        <v>40</v>
      </c>
      <c r="H19" s="25" t="s">
        <v>201</v>
      </c>
      <c r="I19" s="25" t="s">
        <v>222</v>
      </c>
      <c r="J19" s="35" t="s">
        <v>223</v>
      </c>
      <c r="K19" s="36" t="s">
        <v>224</v>
      </c>
      <c r="L19" s="25" t="s">
        <v>45</v>
      </c>
      <c r="M19" s="27" t="s">
        <v>46</v>
      </c>
      <c r="N19" s="25" t="s">
        <v>225</v>
      </c>
      <c r="O19" s="28" t="s">
        <v>226</v>
      </c>
      <c r="P19" s="29">
        <v>1.1000000000000001</v>
      </c>
      <c r="Q19" s="86" t="s">
        <v>227</v>
      </c>
      <c r="R19" s="37">
        <v>90</v>
      </c>
      <c r="S19" s="39" t="s">
        <v>95</v>
      </c>
      <c r="T19" s="85" t="s">
        <v>54</v>
      </c>
      <c r="U19" s="37" t="s">
        <v>227</v>
      </c>
      <c r="V19" s="39" t="s">
        <v>228</v>
      </c>
      <c r="W19" s="85" t="s">
        <v>229</v>
      </c>
      <c r="X19" s="37" t="s">
        <v>195</v>
      </c>
      <c r="Y19" s="39" t="s">
        <v>230</v>
      </c>
      <c r="Z19" s="85"/>
      <c r="AA19" s="37"/>
      <c r="AB19" s="39"/>
      <c r="AC19" s="85"/>
      <c r="AD19" s="37"/>
      <c r="AE19" s="39"/>
      <c r="AF19" s="85"/>
      <c r="AG19" s="37"/>
      <c r="AH19" s="87"/>
    </row>
    <row r="20" spans="1:74" ht="15" customHeight="1">
      <c r="A20" s="9" t="s">
        <v>231</v>
      </c>
      <c r="B20" s="11" t="s">
        <v>37</v>
      </c>
      <c r="C20" s="33">
        <v>1.83</v>
      </c>
      <c r="D20" s="34" t="s">
        <v>232</v>
      </c>
      <c r="E20" s="34" t="s">
        <v>233</v>
      </c>
      <c r="F20" s="38" t="s">
        <v>234</v>
      </c>
      <c r="G20" s="31" t="s">
        <v>40</v>
      </c>
      <c r="H20" s="25" t="s">
        <v>235</v>
      </c>
      <c r="I20" s="25" t="s">
        <v>236</v>
      </c>
      <c r="J20" s="35" t="s">
        <v>237</v>
      </c>
      <c r="K20" s="36" t="s">
        <v>238</v>
      </c>
      <c r="L20" s="25" t="s">
        <v>239</v>
      </c>
      <c r="M20" s="27" t="s">
        <v>63</v>
      </c>
      <c r="N20" s="25" t="s">
        <v>47</v>
      </c>
      <c r="O20" s="28" t="s">
        <v>48</v>
      </c>
      <c r="P20" s="29">
        <v>2.1</v>
      </c>
      <c r="Q20" s="86" t="s">
        <v>159</v>
      </c>
      <c r="R20" s="37">
        <v>84</v>
      </c>
      <c r="S20" s="39" t="s">
        <v>138</v>
      </c>
      <c r="T20" s="85" t="s">
        <v>240</v>
      </c>
      <c r="U20" s="37" t="s">
        <v>241</v>
      </c>
      <c r="V20" s="39" t="s">
        <v>165</v>
      </c>
      <c r="W20" s="85" t="s">
        <v>78</v>
      </c>
      <c r="X20" s="37" t="s">
        <v>242</v>
      </c>
      <c r="Y20" s="39" t="s">
        <v>243</v>
      </c>
      <c r="Z20" s="85" t="s">
        <v>244</v>
      </c>
      <c r="AA20" s="37" t="s">
        <v>245</v>
      </c>
      <c r="AB20" s="39" t="s">
        <v>246</v>
      </c>
      <c r="AC20" s="85" t="s">
        <v>247</v>
      </c>
      <c r="AD20" s="37" t="s">
        <v>248</v>
      </c>
      <c r="AE20" s="39" t="s">
        <v>249</v>
      </c>
      <c r="AF20" s="85" t="s">
        <v>250</v>
      </c>
      <c r="AG20" s="37" t="s">
        <v>251</v>
      </c>
      <c r="AH20" s="37" t="s">
        <v>252</v>
      </c>
    </row>
    <row r="21" spans="1:74" s="64" customFormat="1" ht="15" customHeight="1">
      <c r="A21" s="9" t="s">
        <v>253</v>
      </c>
      <c r="B21" s="11" t="s">
        <v>37</v>
      </c>
      <c r="C21" s="40">
        <v>1.9</v>
      </c>
      <c r="D21" s="37">
        <v>2.5</v>
      </c>
      <c r="E21" s="37" t="s">
        <v>254</v>
      </c>
      <c r="F21" s="41" t="s">
        <v>170</v>
      </c>
      <c r="G21" s="31" t="s">
        <v>40</v>
      </c>
      <c r="H21" s="31" t="s">
        <v>255</v>
      </c>
      <c r="I21" s="25" t="s">
        <v>236</v>
      </c>
      <c r="J21" s="39" t="s">
        <v>256</v>
      </c>
      <c r="K21" s="30" t="s">
        <v>257</v>
      </c>
      <c r="L21" s="31" t="s">
        <v>45</v>
      </c>
      <c r="M21" s="27" t="s">
        <v>104</v>
      </c>
      <c r="N21" s="25" t="s">
        <v>47</v>
      </c>
      <c r="O21" s="28" t="s">
        <v>48</v>
      </c>
      <c r="P21" s="29">
        <v>6.3</v>
      </c>
      <c r="Q21" s="86" t="s">
        <v>195</v>
      </c>
      <c r="R21" s="37">
        <v>82</v>
      </c>
      <c r="S21" s="39" t="s">
        <v>105</v>
      </c>
      <c r="T21" s="85" t="s">
        <v>245</v>
      </c>
      <c r="U21" s="37" t="s">
        <v>195</v>
      </c>
      <c r="V21" s="39" t="s">
        <v>258</v>
      </c>
      <c r="W21" s="85" t="s">
        <v>78</v>
      </c>
      <c r="X21" s="37" t="s">
        <v>259</v>
      </c>
      <c r="Y21" s="39" t="s">
        <v>260</v>
      </c>
      <c r="Z21" s="85" t="s">
        <v>261</v>
      </c>
      <c r="AA21" s="37" t="s">
        <v>181</v>
      </c>
      <c r="AB21" s="39" t="s">
        <v>262</v>
      </c>
      <c r="AC21" s="85" t="s">
        <v>263</v>
      </c>
      <c r="AD21" s="37" t="s">
        <v>264</v>
      </c>
      <c r="AE21" s="39" t="s">
        <v>265</v>
      </c>
      <c r="AF21" s="85" t="s">
        <v>266</v>
      </c>
      <c r="AG21" s="37" t="s">
        <v>267</v>
      </c>
      <c r="AH21" s="37" t="s">
        <v>268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</row>
    <row r="22" spans="1:74" ht="15" customHeight="1">
      <c r="A22" s="8" t="s">
        <v>269</v>
      </c>
      <c r="B22" s="11" t="s">
        <v>37</v>
      </c>
      <c r="C22" s="40">
        <v>1.9</v>
      </c>
      <c r="D22" s="37">
        <v>2.2000000000000002</v>
      </c>
      <c r="E22" s="37" t="s">
        <v>57</v>
      </c>
      <c r="F22" s="41" t="s">
        <v>81</v>
      </c>
      <c r="G22" s="31" t="s">
        <v>200</v>
      </c>
      <c r="H22" s="31" t="s">
        <v>152</v>
      </c>
      <c r="I22" s="25" t="s">
        <v>270</v>
      </c>
      <c r="J22" s="39" t="s">
        <v>271</v>
      </c>
      <c r="K22" s="30" t="s">
        <v>238</v>
      </c>
      <c r="L22" s="31" t="s">
        <v>45</v>
      </c>
      <c r="M22" s="32" t="s">
        <v>46</v>
      </c>
      <c r="N22" s="25" t="s">
        <v>225</v>
      </c>
      <c r="O22" s="28" t="s">
        <v>48</v>
      </c>
      <c r="P22" s="29">
        <v>1.1000000000000001</v>
      </c>
      <c r="Q22" s="86" t="s">
        <v>241</v>
      </c>
      <c r="R22" s="37">
        <v>83</v>
      </c>
      <c r="S22" s="39" t="s">
        <v>272</v>
      </c>
      <c r="T22" s="85" t="s">
        <v>94</v>
      </c>
      <c r="U22" s="37" t="s">
        <v>241</v>
      </c>
      <c r="V22" s="39" t="s">
        <v>273</v>
      </c>
      <c r="W22" s="85" t="s">
        <v>274</v>
      </c>
      <c r="X22" s="37" t="s">
        <v>275</v>
      </c>
      <c r="Y22" s="39" t="s">
        <v>276</v>
      </c>
      <c r="Z22" s="85"/>
      <c r="AA22" s="37"/>
      <c r="AB22" s="39"/>
      <c r="AC22" s="85"/>
      <c r="AD22" s="37"/>
      <c r="AE22" s="39"/>
      <c r="AF22" s="85"/>
      <c r="AG22" s="37"/>
      <c r="AH22" s="37"/>
    </row>
    <row r="23" spans="1:74" s="77" customFormat="1" ht="15" customHeight="1">
      <c r="A23" s="8" t="s">
        <v>277</v>
      </c>
      <c r="B23" s="13" t="s">
        <v>278</v>
      </c>
      <c r="C23" s="40">
        <v>1.9</v>
      </c>
      <c r="D23" s="42">
        <v>2</v>
      </c>
      <c r="E23" s="42" t="s">
        <v>57</v>
      </c>
      <c r="F23" s="11" t="s">
        <v>279</v>
      </c>
      <c r="G23" s="31" t="s">
        <v>40</v>
      </c>
      <c r="H23" s="43" t="s">
        <v>280</v>
      </c>
      <c r="I23" s="43" t="s">
        <v>222</v>
      </c>
      <c r="J23" s="44" t="s">
        <v>44</v>
      </c>
      <c r="K23" s="45" t="s">
        <v>61</v>
      </c>
      <c r="L23" s="31" t="s">
        <v>62</v>
      </c>
      <c r="M23" s="32" t="s">
        <v>46</v>
      </c>
      <c r="N23" s="25" t="s">
        <v>47</v>
      </c>
      <c r="O23" s="28" t="s">
        <v>226</v>
      </c>
      <c r="P23" s="29">
        <v>1.7</v>
      </c>
      <c r="Q23" s="86" t="s">
        <v>281</v>
      </c>
      <c r="R23" s="37">
        <v>79</v>
      </c>
      <c r="S23" s="39" t="s">
        <v>282</v>
      </c>
      <c r="T23" s="85" t="s">
        <v>62</v>
      </c>
      <c r="U23" s="37" t="s">
        <v>62</v>
      </c>
      <c r="V23" s="39" t="s">
        <v>62</v>
      </c>
      <c r="W23" s="85" t="s">
        <v>62</v>
      </c>
      <c r="X23" s="37" t="s">
        <v>62</v>
      </c>
      <c r="Y23" s="39" t="s">
        <v>62</v>
      </c>
      <c r="Z23" s="85" t="s">
        <v>62</v>
      </c>
      <c r="AA23" s="37" t="s">
        <v>62</v>
      </c>
      <c r="AB23" s="39" t="s">
        <v>62</v>
      </c>
      <c r="AC23" s="85" t="s">
        <v>62</v>
      </c>
      <c r="AD23" s="37" t="s">
        <v>62</v>
      </c>
      <c r="AE23" s="39" t="s">
        <v>62</v>
      </c>
      <c r="AF23" s="90" t="s">
        <v>62</v>
      </c>
      <c r="AG23" s="91" t="s">
        <v>62</v>
      </c>
      <c r="AH23" s="91" t="s">
        <v>62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</row>
    <row r="24" spans="1:74" ht="15" customHeight="1">
      <c r="A24" s="53" t="s">
        <v>283</v>
      </c>
      <c r="B24" s="54" t="s">
        <v>37</v>
      </c>
      <c r="C24" s="79">
        <v>2</v>
      </c>
      <c r="D24" s="80">
        <v>1.8</v>
      </c>
      <c r="E24" s="80" t="s">
        <v>80</v>
      </c>
      <c r="F24" s="81" t="s">
        <v>284</v>
      </c>
      <c r="G24" s="57" t="s">
        <v>285</v>
      </c>
      <c r="H24" s="61" t="s">
        <v>286</v>
      </c>
      <c r="I24" s="61" t="s">
        <v>236</v>
      </c>
      <c r="J24" s="82" t="s">
        <v>287</v>
      </c>
      <c r="K24" s="83" t="s">
        <v>288</v>
      </c>
      <c r="L24" s="57" t="s">
        <v>45</v>
      </c>
      <c r="M24" s="70" t="s">
        <v>63</v>
      </c>
      <c r="N24" s="61" t="s">
        <v>225</v>
      </c>
      <c r="O24" s="62" t="s">
        <v>48</v>
      </c>
      <c r="P24" s="63">
        <v>5.4</v>
      </c>
      <c r="Q24" s="86"/>
      <c r="R24" s="37"/>
      <c r="S24" s="39"/>
      <c r="T24" s="85"/>
      <c r="U24" s="37"/>
      <c r="V24" s="39"/>
      <c r="W24" s="85"/>
      <c r="X24" s="37"/>
      <c r="Y24" s="39"/>
      <c r="Z24" s="85"/>
      <c r="AA24" s="37"/>
      <c r="AB24" s="39"/>
      <c r="AC24" s="85"/>
      <c r="AD24" s="37"/>
      <c r="AE24" s="39"/>
      <c r="AF24" s="85"/>
      <c r="AG24" s="37"/>
      <c r="AH24" s="87"/>
    </row>
    <row r="25" spans="1:74" s="78" customFormat="1" ht="15" customHeight="1">
      <c r="A25" s="9" t="s">
        <v>289</v>
      </c>
      <c r="B25" s="11" t="s">
        <v>278</v>
      </c>
      <c r="C25" s="40">
        <v>2.1</v>
      </c>
      <c r="D25" s="37">
        <v>2.4</v>
      </c>
      <c r="E25" s="37" t="s">
        <v>67</v>
      </c>
      <c r="F25" s="41" t="s">
        <v>290</v>
      </c>
      <c r="G25" s="31" t="s">
        <v>40</v>
      </c>
      <c r="H25" s="31" t="s">
        <v>235</v>
      </c>
      <c r="I25" s="31" t="s">
        <v>291</v>
      </c>
      <c r="J25" s="39" t="s">
        <v>91</v>
      </c>
      <c r="K25" s="30" t="s">
        <v>61</v>
      </c>
      <c r="L25" s="31" t="s">
        <v>62</v>
      </c>
      <c r="M25" s="32" t="s">
        <v>46</v>
      </c>
      <c r="N25" s="25" t="s">
        <v>47</v>
      </c>
      <c r="O25" s="28" t="s">
        <v>48</v>
      </c>
      <c r="P25" s="29">
        <v>1.7</v>
      </c>
      <c r="Q25" s="86" t="s">
        <v>292</v>
      </c>
      <c r="R25" s="37">
        <v>70</v>
      </c>
      <c r="S25" s="39" t="s">
        <v>178</v>
      </c>
      <c r="T25" s="85" t="s">
        <v>293</v>
      </c>
      <c r="U25" s="37" t="s">
        <v>292</v>
      </c>
      <c r="V25" s="39" t="s">
        <v>294</v>
      </c>
      <c r="W25" s="85" t="s">
        <v>93</v>
      </c>
      <c r="X25" s="37" t="s">
        <v>295</v>
      </c>
      <c r="Y25" s="39" t="s">
        <v>296</v>
      </c>
      <c r="Z25" s="85" t="s">
        <v>62</v>
      </c>
      <c r="AA25" s="37" t="s">
        <v>62</v>
      </c>
      <c r="AB25" s="39" t="s">
        <v>62</v>
      </c>
      <c r="AC25" s="85" t="s">
        <v>62</v>
      </c>
      <c r="AD25" s="37" t="s">
        <v>62</v>
      </c>
      <c r="AE25" s="39" t="s">
        <v>62</v>
      </c>
      <c r="AF25" s="90" t="s">
        <v>62</v>
      </c>
      <c r="AG25" s="91" t="s">
        <v>62</v>
      </c>
      <c r="AH25" s="114" t="s">
        <v>62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</row>
    <row r="26" spans="1:74" ht="15" customHeight="1">
      <c r="A26" s="9" t="s">
        <v>297</v>
      </c>
      <c r="B26" s="11" t="s">
        <v>187</v>
      </c>
      <c r="C26" s="40">
        <v>2.2000000000000002</v>
      </c>
      <c r="D26" s="37">
        <v>2.2000000000000002</v>
      </c>
      <c r="E26" s="37" t="s">
        <v>67</v>
      </c>
      <c r="F26" s="11" t="s">
        <v>298</v>
      </c>
      <c r="G26" s="31" t="s">
        <v>40</v>
      </c>
      <c r="H26" s="31" t="s">
        <v>299</v>
      </c>
      <c r="I26" s="31" t="s">
        <v>300</v>
      </c>
      <c r="J26" s="39" t="s">
        <v>301</v>
      </c>
      <c r="K26" s="30" t="s">
        <v>302</v>
      </c>
      <c r="L26" s="31" t="s">
        <v>45</v>
      </c>
      <c r="M26" s="32" t="s">
        <v>46</v>
      </c>
      <c r="N26" s="25" t="s">
        <v>47</v>
      </c>
      <c r="O26" s="28" t="s">
        <v>48</v>
      </c>
      <c r="P26" s="29">
        <v>2</v>
      </c>
      <c r="Q26" s="86" t="s">
        <v>303</v>
      </c>
      <c r="R26" s="37">
        <v>64</v>
      </c>
      <c r="S26" s="39" t="s">
        <v>304</v>
      </c>
      <c r="T26" s="85" t="s">
        <v>305</v>
      </c>
      <c r="U26" s="37" t="s">
        <v>303</v>
      </c>
      <c r="V26" s="39" t="s">
        <v>241</v>
      </c>
      <c r="W26" s="85" t="s">
        <v>178</v>
      </c>
      <c r="X26" s="37" t="s">
        <v>306</v>
      </c>
      <c r="Y26" s="39" t="s">
        <v>307</v>
      </c>
      <c r="Z26" s="85" t="s">
        <v>308</v>
      </c>
      <c r="AA26" s="37" t="s">
        <v>309</v>
      </c>
      <c r="AB26" s="39" t="s">
        <v>310</v>
      </c>
      <c r="AC26" s="85" t="s">
        <v>62</v>
      </c>
      <c r="AD26" s="37" t="s">
        <v>62</v>
      </c>
      <c r="AE26" s="39" t="s">
        <v>62</v>
      </c>
      <c r="AF26" s="90" t="s">
        <v>62</v>
      </c>
      <c r="AG26" s="91" t="s">
        <v>62</v>
      </c>
      <c r="AH26" s="114" t="s">
        <v>62</v>
      </c>
    </row>
    <row r="27" spans="1:74" ht="15" customHeight="1">
      <c r="A27" s="9" t="s">
        <v>311</v>
      </c>
      <c r="B27" s="11" t="s">
        <v>37</v>
      </c>
      <c r="C27" s="40">
        <v>2.2000000000000002</v>
      </c>
      <c r="D27" s="37">
        <v>2</v>
      </c>
      <c r="E27" s="37" t="s">
        <v>57</v>
      </c>
      <c r="F27" s="41" t="s">
        <v>81</v>
      </c>
      <c r="G27" s="31" t="s">
        <v>40</v>
      </c>
      <c r="H27" s="31" t="s">
        <v>312</v>
      </c>
      <c r="I27" s="31" t="s">
        <v>236</v>
      </c>
      <c r="J27" s="39" t="s">
        <v>313</v>
      </c>
      <c r="K27" s="36" t="s">
        <v>314</v>
      </c>
      <c r="L27" s="31" t="s">
        <v>92</v>
      </c>
      <c r="M27" s="32" t="s">
        <v>63</v>
      </c>
      <c r="N27" s="25" t="s">
        <v>47</v>
      </c>
      <c r="O27" s="28" t="s">
        <v>48</v>
      </c>
      <c r="P27" s="29">
        <v>1.9</v>
      </c>
      <c r="Q27" s="86" t="s">
        <v>315</v>
      </c>
      <c r="R27" s="37">
        <v>71</v>
      </c>
      <c r="S27" s="39" t="s">
        <v>174</v>
      </c>
      <c r="T27" s="85" t="s">
        <v>316</v>
      </c>
      <c r="U27" s="37" t="s">
        <v>315</v>
      </c>
      <c r="V27" s="39" t="s">
        <v>114</v>
      </c>
      <c r="W27" s="85" t="s">
        <v>317</v>
      </c>
      <c r="X27" s="37" t="s">
        <v>196</v>
      </c>
      <c r="Y27" s="39" t="s">
        <v>318</v>
      </c>
      <c r="Z27" s="85" t="s">
        <v>78</v>
      </c>
      <c r="AA27" s="37" t="s">
        <v>197</v>
      </c>
      <c r="AB27" s="39" t="s">
        <v>319</v>
      </c>
      <c r="AC27" s="85" t="s">
        <v>320</v>
      </c>
      <c r="AD27" s="37" t="s">
        <v>245</v>
      </c>
      <c r="AE27" s="39" t="s">
        <v>321</v>
      </c>
      <c r="AF27" s="85" t="s">
        <v>322</v>
      </c>
      <c r="AG27" s="37" t="s">
        <v>227</v>
      </c>
      <c r="AH27" s="87" t="s">
        <v>323</v>
      </c>
    </row>
    <row r="28" spans="1:74" ht="15" customHeight="1">
      <c r="A28" s="8" t="s">
        <v>324</v>
      </c>
      <c r="B28" s="11" t="s">
        <v>37</v>
      </c>
      <c r="C28" s="40">
        <v>2.2000000000000002</v>
      </c>
      <c r="D28" s="37">
        <v>1.8</v>
      </c>
      <c r="E28" s="37" t="s">
        <v>325</v>
      </c>
      <c r="F28" s="41" t="s">
        <v>123</v>
      </c>
      <c r="G28" s="31" t="s">
        <v>40</v>
      </c>
      <c r="H28" s="31" t="s">
        <v>235</v>
      </c>
      <c r="I28" s="31" t="s">
        <v>326</v>
      </c>
      <c r="J28" s="39" t="s">
        <v>327</v>
      </c>
      <c r="K28" s="36" t="s">
        <v>72</v>
      </c>
      <c r="L28" s="31" t="s">
        <v>45</v>
      </c>
      <c r="M28" s="32" t="s">
        <v>63</v>
      </c>
      <c r="N28" s="25" t="s">
        <v>47</v>
      </c>
      <c r="O28" s="28" t="s">
        <v>48</v>
      </c>
      <c r="P28" s="29">
        <v>2</v>
      </c>
      <c r="Q28" s="86" t="s">
        <v>315</v>
      </c>
      <c r="R28" s="37">
        <v>71</v>
      </c>
      <c r="S28" s="39" t="s">
        <v>155</v>
      </c>
      <c r="T28" s="85" t="s">
        <v>328</v>
      </c>
      <c r="U28" s="37" t="s">
        <v>329</v>
      </c>
      <c r="V28" s="39" t="s">
        <v>162</v>
      </c>
      <c r="W28" s="85" t="s">
        <v>330</v>
      </c>
      <c r="X28" s="37" t="s">
        <v>196</v>
      </c>
      <c r="Y28" s="39" t="s">
        <v>139</v>
      </c>
      <c r="Z28" s="85"/>
      <c r="AA28" s="37"/>
      <c r="AB28" s="39"/>
      <c r="AC28" s="85"/>
      <c r="AD28" s="37"/>
      <c r="AE28" s="39"/>
      <c r="AF28" s="85"/>
      <c r="AG28" s="37"/>
      <c r="AH28" s="37"/>
    </row>
    <row r="29" spans="1:74" s="78" customFormat="1" ht="15" customHeight="1">
      <c r="A29" s="9" t="s">
        <v>331</v>
      </c>
      <c r="B29" s="11" t="s">
        <v>37</v>
      </c>
      <c r="C29" s="40">
        <v>2.4</v>
      </c>
      <c r="D29" s="37">
        <v>1.9</v>
      </c>
      <c r="E29" s="37" t="s">
        <v>38</v>
      </c>
      <c r="F29" s="41" t="s">
        <v>332</v>
      </c>
      <c r="G29" s="31" t="s">
        <v>40</v>
      </c>
      <c r="H29" s="31" t="s">
        <v>189</v>
      </c>
      <c r="I29" s="31" t="s">
        <v>270</v>
      </c>
      <c r="J29" s="39" t="s">
        <v>333</v>
      </c>
      <c r="K29" s="30" t="s">
        <v>72</v>
      </c>
      <c r="L29" s="31" t="s">
        <v>92</v>
      </c>
      <c r="M29" s="32" t="s">
        <v>63</v>
      </c>
      <c r="N29" s="25" t="s">
        <v>47</v>
      </c>
      <c r="O29" s="28" t="s">
        <v>48</v>
      </c>
      <c r="P29" s="29">
        <v>1.9</v>
      </c>
      <c r="Q29" s="86" t="s">
        <v>334</v>
      </c>
      <c r="R29" s="37">
        <v>65</v>
      </c>
      <c r="S29" s="39" t="s">
        <v>159</v>
      </c>
      <c r="T29" s="85" t="s">
        <v>155</v>
      </c>
      <c r="U29" s="37" t="s">
        <v>334</v>
      </c>
      <c r="V29" s="39" t="s">
        <v>335</v>
      </c>
      <c r="W29" s="85" t="s">
        <v>240</v>
      </c>
      <c r="X29" s="37" t="s">
        <v>336</v>
      </c>
      <c r="Y29" s="39" t="s">
        <v>337</v>
      </c>
      <c r="Z29" s="85"/>
      <c r="AA29" s="37"/>
      <c r="AB29" s="39"/>
      <c r="AC29" s="85"/>
      <c r="AD29" s="37"/>
      <c r="AE29" s="39"/>
      <c r="AF29" s="85"/>
      <c r="AG29" s="37"/>
      <c r="AH29" s="37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</row>
    <row r="30" spans="1:74" ht="15" customHeight="1">
      <c r="A30" s="9" t="s">
        <v>338</v>
      </c>
      <c r="B30" s="11" t="s">
        <v>278</v>
      </c>
      <c r="C30" s="40">
        <v>2.5</v>
      </c>
      <c r="D30" s="37">
        <v>2</v>
      </c>
      <c r="E30" s="37" t="s">
        <v>57</v>
      </c>
      <c r="F30" s="11" t="s">
        <v>339</v>
      </c>
      <c r="G30" s="31" t="s">
        <v>40</v>
      </c>
      <c r="H30" s="31" t="s">
        <v>235</v>
      </c>
      <c r="I30" s="31" t="s">
        <v>222</v>
      </c>
      <c r="J30" s="39" t="s">
        <v>340</v>
      </c>
      <c r="K30" s="30" t="s">
        <v>61</v>
      </c>
      <c r="L30" s="31" t="s">
        <v>62</v>
      </c>
      <c r="M30" s="32" t="s">
        <v>46</v>
      </c>
      <c r="N30" s="25" t="s">
        <v>47</v>
      </c>
      <c r="O30" s="28" t="s">
        <v>48</v>
      </c>
      <c r="P30" s="29">
        <v>1.6</v>
      </c>
      <c r="Q30" s="86" t="s">
        <v>341</v>
      </c>
      <c r="R30" s="37">
        <v>59</v>
      </c>
      <c r="S30" s="39" t="s">
        <v>342</v>
      </c>
      <c r="T30" s="85" t="s">
        <v>305</v>
      </c>
      <c r="U30" s="37" t="s">
        <v>341</v>
      </c>
      <c r="V30" s="39" t="s">
        <v>343</v>
      </c>
      <c r="W30" s="85" t="s">
        <v>241</v>
      </c>
      <c r="X30" s="37" t="s">
        <v>344</v>
      </c>
      <c r="Y30" s="39" t="s">
        <v>227</v>
      </c>
      <c r="Z30" s="85" t="s">
        <v>62</v>
      </c>
      <c r="AA30" s="37" t="s">
        <v>62</v>
      </c>
      <c r="AB30" s="39" t="s">
        <v>62</v>
      </c>
      <c r="AC30" s="85" t="s">
        <v>62</v>
      </c>
      <c r="AD30" s="37" t="s">
        <v>62</v>
      </c>
      <c r="AE30" s="39" t="s">
        <v>62</v>
      </c>
      <c r="AF30" s="90" t="s">
        <v>62</v>
      </c>
      <c r="AG30" s="91" t="s">
        <v>62</v>
      </c>
      <c r="AH30" s="91" t="s">
        <v>62</v>
      </c>
    </row>
    <row r="31" spans="1:74" s="64" customFormat="1" ht="15" customHeight="1">
      <c r="A31" s="75" t="s">
        <v>345</v>
      </c>
      <c r="B31" s="11" t="s">
        <v>278</v>
      </c>
      <c r="C31" s="40">
        <v>2.5</v>
      </c>
      <c r="D31" s="37">
        <v>2.5</v>
      </c>
      <c r="E31" s="37" t="s">
        <v>57</v>
      </c>
      <c r="F31" s="41" t="s">
        <v>284</v>
      </c>
      <c r="G31" s="31" t="s">
        <v>40</v>
      </c>
      <c r="H31" s="31" t="s">
        <v>346</v>
      </c>
      <c r="I31" s="31" t="s">
        <v>202</v>
      </c>
      <c r="J31" s="39" t="s">
        <v>327</v>
      </c>
      <c r="K31" s="30" t="s">
        <v>347</v>
      </c>
      <c r="L31" s="31" t="s">
        <v>45</v>
      </c>
      <c r="M31" s="32" t="s">
        <v>63</v>
      </c>
      <c r="N31" s="25" t="s">
        <v>47</v>
      </c>
      <c r="O31" s="28" t="s">
        <v>48</v>
      </c>
      <c r="P31" s="29">
        <v>1.9</v>
      </c>
      <c r="Q31" s="86" t="s">
        <v>295</v>
      </c>
      <c r="R31" s="37">
        <v>62</v>
      </c>
      <c r="S31" s="39" t="s">
        <v>348</v>
      </c>
      <c r="T31" s="85" t="s">
        <v>349</v>
      </c>
      <c r="U31" s="37" t="s">
        <v>295</v>
      </c>
      <c r="V31" s="39" t="s">
        <v>267</v>
      </c>
      <c r="W31" s="85" t="s">
        <v>350</v>
      </c>
      <c r="X31" s="37" t="s">
        <v>351</v>
      </c>
      <c r="Y31" s="39" t="s">
        <v>206</v>
      </c>
      <c r="Z31" s="85"/>
      <c r="AA31" s="37"/>
      <c r="AB31" s="39"/>
      <c r="AC31" s="85" t="s">
        <v>62</v>
      </c>
      <c r="AD31" s="37" t="s">
        <v>62</v>
      </c>
      <c r="AE31" s="39" t="s">
        <v>62</v>
      </c>
      <c r="AF31" s="90" t="s">
        <v>62</v>
      </c>
      <c r="AG31" s="91" t="s">
        <v>62</v>
      </c>
      <c r="AH31" s="91" t="s">
        <v>62</v>
      </c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spans="1:74" ht="15" customHeight="1">
      <c r="A32" s="9" t="s">
        <v>352</v>
      </c>
      <c r="B32" s="11" t="s">
        <v>187</v>
      </c>
      <c r="C32" s="40">
        <v>2.6</v>
      </c>
      <c r="D32" s="37" t="s">
        <v>353</v>
      </c>
      <c r="E32" s="37" t="s">
        <v>233</v>
      </c>
      <c r="F32" s="11" t="s">
        <v>354</v>
      </c>
      <c r="G32" s="31" t="s">
        <v>40</v>
      </c>
      <c r="H32" s="31" t="s">
        <v>355</v>
      </c>
      <c r="I32" s="31" t="s">
        <v>356</v>
      </c>
      <c r="J32" s="39" t="s">
        <v>302</v>
      </c>
      <c r="K32" s="30" t="s">
        <v>173</v>
      </c>
      <c r="L32" s="31" t="s">
        <v>62</v>
      </c>
      <c r="M32" s="32" t="s">
        <v>46</v>
      </c>
      <c r="N32" s="25" t="s">
        <v>47</v>
      </c>
      <c r="O32" s="28" t="s">
        <v>48</v>
      </c>
      <c r="P32" s="29">
        <v>1.6</v>
      </c>
      <c r="Q32" s="86" t="s">
        <v>344</v>
      </c>
      <c r="R32" s="37">
        <v>55</v>
      </c>
      <c r="S32" s="39" t="s">
        <v>357</v>
      </c>
      <c r="T32" s="85" t="s">
        <v>196</v>
      </c>
      <c r="U32" s="37" t="s">
        <v>344</v>
      </c>
      <c r="V32" s="39" t="s">
        <v>259</v>
      </c>
      <c r="W32" s="85" t="s">
        <v>309</v>
      </c>
      <c r="X32" s="37" t="s">
        <v>358</v>
      </c>
      <c r="Y32" s="39" t="s">
        <v>359</v>
      </c>
      <c r="Z32" s="85" t="s">
        <v>360</v>
      </c>
      <c r="AA32" s="37" t="s">
        <v>361</v>
      </c>
      <c r="AB32" s="39" t="s">
        <v>293</v>
      </c>
      <c r="AC32" s="85" t="s">
        <v>62</v>
      </c>
      <c r="AD32" s="37" t="s">
        <v>62</v>
      </c>
      <c r="AE32" s="39" t="s">
        <v>62</v>
      </c>
      <c r="AF32" s="90" t="s">
        <v>62</v>
      </c>
      <c r="AG32" s="91" t="s">
        <v>62</v>
      </c>
      <c r="AH32" s="114" t="s">
        <v>62</v>
      </c>
    </row>
    <row r="33" spans="1:74" ht="15" customHeight="1">
      <c r="A33" s="76" t="s">
        <v>362</v>
      </c>
      <c r="B33" s="11" t="s">
        <v>187</v>
      </c>
      <c r="C33" s="40">
        <v>2.7</v>
      </c>
      <c r="D33" s="37">
        <v>2.8</v>
      </c>
      <c r="E33" s="37" t="s">
        <v>80</v>
      </c>
      <c r="F33" s="11" t="s">
        <v>363</v>
      </c>
      <c r="G33" s="31" t="s">
        <v>40</v>
      </c>
      <c r="H33" s="31" t="s">
        <v>364</v>
      </c>
      <c r="I33" s="31" t="s">
        <v>291</v>
      </c>
      <c r="J33" s="39" t="s">
        <v>365</v>
      </c>
      <c r="K33" s="30" t="s">
        <v>44</v>
      </c>
      <c r="L33" s="31" t="s">
        <v>62</v>
      </c>
      <c r="M33" s="32" t="s">
        <v>46</v>
      </c>
      <c r="N33" s="25" t="s">
        <v>47</v>
      </c>
      <c r="O33" s="28" t="s">
        <v>48</v>
      </c>
      <c r="P33" s="29">
        <v>1.9</v>
      </c>
      <c r="Q33" s="86" t="s">
        <v>366</v>
      </c>
      <c r="R33" s="37">
        <v>53</v>
      </c>
      <c r="S33" s="39" t="s">
        <v>367</v>
      </c>
      <c r="T33" s="85" t="s">
        <v>368</v>
      </c>
      <c r="U33" s="37" t="s">
        <v>366</v>
      </c>
      <c r="V33" s="39" t="s">
        <v>305</v>
      </c>
      <c r="W33" s="85" t="s">
        <v>329</v>
      </c>
      <c r="X33" s="37" t="s">
        <v>369</v>
      </c>
      <c r="Y33" s="39" t="s">
        <v>281</v>
      </c>
      <c r="Z33" s="116" t="s">
        <v>275</v>
      </c>
      <c r="AA33" s="117" t="s">
        <v>295</v>
      </c>
      <c r="AB33" s="118" t="s">
        <v>159</v>
      </c>
      <c r="AC33" s="85" t="s">
        <v>241</v>
      </c>
      <c r="AD33" s="37" t="s">
        <v>370</v>
      </c>
      <c r="AE33" s="39" t="s">
        <v>205</v>
      </c>
      <c r="AF33" s="90" t="s">
        <v>62</v>
      </c>
      <c r="AG33" s="91" t="s">
        <v>62</v>
      </c>
      <c r="AH33" s="114" t="s">
        <v>62</v>
      </c>
    </row>
    <row r="34" spans="1:74" s="64" customFormat="1" ht="15" customHeight="1">
      <c r="A34" s="9" t="s">
        <v>371</v>
      </c>
      <c r="B34" s="11" t="s">
        <v>37</v>
      </c>
      <c r="C34" s="40">
        <v>2.7</v>
      </c>
      <c r="D34" s="37">
        <v>2.5</v>
      </c>
      <c r="E34" s="37" t="s">
        <v>80</v>
      </c>
      <c r="F34" s="41" t="s">
        <v>133</v>
      </c>
      <c r="G34" s="31" t="s">
        <v>40</v>
      </c>
      <c r="H34" s="31" t="s">
        <v>364</v>
      </c>
      <c r="I34" s="31" t="s">
        <v>153</v>
      </c>
      <c r="J34" s="39" t="s">
        <v>327</v>
      </c>
      <c r="K34" s="30" t="s">
        <v>372</v>
      </c>
      <c r="L34" s="31" t="s">
        <v>92</v>
      </c>
      <c r="M34" s="32" t="s">
        <v>63</v>
      </c>
      <c r="N34" s="25" t="s">
        <v>47</v>
      </c>
      <c r="O34" s="28" t="s">
        <v>48</v>
      </c>
      <c r="P34" s="29">
        <v>2.8</v>
      </c>
      <c r="Q34" s="86" t="s">
        <v>370</v>
      </c>
      <c r="R34" s="37">
        <v>58</v>
      </c>
      <c r="S34" s="39" t="s">
        <v>305</v>
      </c>
      <c r="T34" s="85" t="s">
        <v>359</v>
      </c>
      <c r="U34" s="37" t="s">
        <v>370</v>
      </c>
      <c r="V34" s="39" t="s">
        <v>248</v>
      </c>
      <c r="W34" s="85" t="s">
        <v>197</v>
      </c>
      <c r="X34" s="37" t="s">
        <v>344</v>
      </c>
      <c r="Y34" s="39" t="s">
        <v>240</v>
      </c>
      <c r="Z34" s="85" t="s">
        <v>138</v>
      </c>
      <c r="AA34" s="37" t="s">
        <v>281</v>
      </c>
      <c r="AB34" s="39" t="s">
        <v>49</v>
      </c>
      <c r="AC34" s="85" t="s">
        <v>78</v>
      </c>
      <c r="AD34" s="37" t="s">
        <v>304</v>
      </c>
      <c r="AE34" s="39" t="s">
        <v>373</v>
      </c>
      <c r="AF34" s="85" t="s">
        <v>374</v>
      </c>
      <c r="AG34" s="37" t="s">
        <v>259</v>
      </c>
      <c r="AH34" s="87" t="s">
        <v>50</v>
      </c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</row>
    <row r="35" spans="1:74" ht="15" customHeight="1">
      <c r="A35" s="9" t="s">
        <v>375</v>
      </c>
      <c r="B35" s="11" t="s">
        <v>278</v>
      </c>
      <c r="C35" s="40">
        <v>2.7</v>
      </c>
      <c r="D35" s="37" t="s">
        <v>376</v>
      </c>
      <c r="E35" s="37" t="s">
        <v>377</v>
      </c>
      <c r="F35" s="41" t="s">
        <v>199</v>
      </c>
      <c r="G35" s="31" t="s">
        <v>40</v>
      </c>
      <c r="H35" s="31" t="s">
        <v>378</v>
      </c>
      <c r="I35" s="31" t="s">
        <v>379</v>
      </c>
      <c r="J35" s="39" t="s">
        <v>380</v>
      </c>
      <c r="K35" s="30" t="s">
        <v>72</v>
      </c>
      <c r="L35" s="31" t="s">
        <v>92</v>
      </c>
      <c r="M35" s="32" t="s">
        <v>63</v>
      </c>
      <c r="N35" s="25" t="s">
        <v>47</v>
      </c>
      <c r="O35" s="28" t="s">
        <v>48</v>
      </c>
      <c r="P35" s="29">
        <v>2.5</v>
      </c>
      <c r="Q35" s="86" t="s">
        <v>370</v>
      </c>
      <c r="R35" s="37">
        <v>58</v>
      </c>
      <c r="S35" s="39" t="s">
        <v>275</v>
      </c>
      <c r="T35" s="85" t="s">
        <v>210</v>
      </c>
      <c r="U35" s="37" t="s">
        <v>370</v>
      </c>
      <c r="V35" s="39" t="s">
        <v>108</v>
      </c>
      <c r="W35" s="85" t="s">
        <v>316</v>
      </c>
      <c r="X35" s="37" t="s">
        <v>344</v>
      </c>
      <c r="Y35" s="39" t="s">
        <v>206</v>
      </c>
      <c r="Z35" s="31"/>
      <c r="AA35" s="31"/>
      <c r="AB35" s="31"/>
      <c r="AC35" s="85" t="s">
        <v>62</v>
      </c>
      <c r="AD35" s="37" t="s">
        <v>62</v>
      </c>
      <c r="AE35" s="39" t="s">
        <v>62</v>
      </c>
      <c r="AF35" s="90" t="s">
        <v>62</v>
      </c>
      <c r="AG35" s="91" t="s">
        <v>62</v>
      </c>
      <c r="AH35" s="114" t="s">
        <v>62</v>
      </c>
    </row>
    <row r="36" spans="1:74" ht="15" customHeight="1">
      <c r="A36" s="8" t="s">
        <v>381</v>
      </c>
      <c r="B36" s="11" t="s">
        <v>187</v>
      </c>
      <c r="C36" s="40">
        <v>2.8</v>
      </c>
      <c r="D36" s="37">
        <v>2.4</v>
      </c>
      <c r="E36" s="37" t="s">
        <v>254</v>
      </c>
      <c r="F36" s="11" t="s">
        <v>354</v>
      </c>
      <c r="G36" s="31" t="s">
        <v>200</v>
      </c>
      <c r="H36" s="31" t="s">
        <v>299</v>
      </c>
      <c r="I36" s="31" t="s">
        <v>124</v>
      </c>
      <c r="J36" s="39" t="s">
        <v>382</v>
      </c>
      <c r="K36" s="30" t="s">
        <v>383</v>
      </c>
      <c r="L36" s="31" t="s">
        <v>62</v>
      </c>
      <c r="M36" s="32" t="s">
        <v>104</v>
      </c>
      <c r="N36" s="25" t="s">
        <v>47</v>
      </c>
      <c r="O36" s="28" t="s">
        <v>48</v>
      </c>
      <c r="P36" s="29">
        <v>11</v>
      </c>
      <c r="Q36" s="86" t="s">
        <v>384</v>
      </c>
      <c r="R36" s="37">
        <v>51</v>
      </c>
      <c r="S36" s="39" t="s">
        <v>370</v>
      </c>
      <c r="T36" s="85" t="s">
        <v>357</v>
      </c>
      <c r="U36" s="37" t="s">
        <v>385</v>
      </c>
      <c r="V36" s="39" t="s">
        <v>304</v>
      </c>
      <c r="W36" s="85" t="s">
        <v>193</v>
      </c>
      <c r="X36" s="37" t="s">
        <v>386</v>
      </c>
      <c r="Y36" s="39" t="s">
        <v>275</v>
      </c>
      <c r="Z36" s="85"/>
      <c r="AA36" s="37"/>
      <c r="AB36" s="39"/>
      <c r="AC36" s="85" t="s">
        <v>62</v>
      </c>
      <c r="AD36" s="37" t="s">
        <v>62</v>
      </c>
      <c r="AE36" s="39" t="s">
        <v>62</v>
      </c>
      <c r="AF36" s="90" t="s">
        <v>62</v>
      </c>
      <c r="AG36" s="91" t="s">
        <v>62</v>
      </c>
      <c r="AH36" s="91" t="s">
        <v>62</v>
      </c>
    </row>
    <row r="37" spans="1:74" ht="15" customHeight="1">
      <c r="A37" s="8" t="s">
        <v>387</v>
      </c>
      <c r="B37" s="11" t="s">
        <v>388</v>
      </c>
      <c r="C37" s="40">
        <v>2.8</v>
      </c>
      <c r="D37" s="37">
        <v>2</v>
      </c>
      <c r="E37" s="37" t="s">
        <v>38</v>
      </c>
      <c r="F37" s="41" t="s">
        <v>199</v>
      </c>
      <c r="G37" s="31" t="s">
        <v>40</v>
      </c>
      <c r="H37" s="31" t="s">
        <v>389</v>
      </c>
      <c r="I37" s="31" t="s">
        <v>70</v>
      </c>
      <c r="J37" s="39" t="s">
        <v>390</v>
      </c>
      <c r="K37" s="30" t="s">
        <v>61</v>
      </c>
      <c r="L37" s="31" t="s">
        <v>92</v>
      </c>
      <c r="M37" s="32" t="s">
        <v>63</v>
      </c>
      <c r="N37" s="25" t="s">
        <v>47</v>
      </c>
      <c r="O37" s="28" t="s">
        <v>48</v>
      </c>
      <c r="P37" s="29">
        <v>1.9</v>
      </c>
      <c r="Q37" s="86"/>
      <c r="R37" s="37"/>
      <c r="S37" s="39"/>
      <c r="T37" s="85"/>
      <c r="U37" s="37"/>
      <c r="V37" s="39"/>
      <c r="W37" s="85"/>
      <c r="X37" s="37"/>
      <c r="Y37" s="39"/>
      <c r="Z37" s="85"/>
      <c r="AA37" s="37"/>
      <c r="AB37" s="39"/>
      <c r="AC37" s="85" t="s">
        <v>62</v>
      </c>
      <c r="AD37" s="37" t="s">
        <v>62</v>
      </c>
      <c r="AE37" s="39" t="s">
        <v>62</v>
      </c>
      <c r="AF37" s="90" t="s">
        <v>62</v>
      </c>
      <c r="AG37" s="91" t="s">
        <v>62</v>
      </c>
      <c r="AH37" s="114" t="s">
        <v>62</v>
      </c>
    </row>
    <row r="38" spans="1:74" ht="15" customHeight="1">
      <c r="A38" s="8" t="s">
        <v>391</v>
      </c>
      <c r="B38" s="11" t="s">
        <v>187</v>
      </c>
      <c r="C38" s="40">
        <v>2.9</v>
      </c>
      <c r="D38" s="37">
        <v>2.5</v>
      </c>
      <c r="E38" s="37" t="s">
        <v>86</v>
      </c>
      <c r="F38" s="11" t="s">
        <v>392</v>
      </c>
      <c r="G38" s="31" t="s">
        <v>40</v>
      </c>
      <c r="H38" s="31" t="s">
        <v>235</v>
      </c>
      <c r="I38" s="31" t="s">
        <v>393</v>
      </c>
      <c r="J38" s="39" t="s">
        <v>394</v>
      </c>
      <c r="K38" s="30" t="s">
        <v>395</v>
      </c>
      <c r="L38" s="31" t="s">
        <v>62</v>
      </c>
      <c r="M38" s="32" t="s">
        <v>46</v>
      </c>
      <c r="N38" s="25" t="s">
        <v>47</v>
      </c>
      <c r="O38" s="28" t="s">
        <v>396</v>
      </c>
      <c r="P38" s="29">
        <v>1.6</v>
      </c>
      <c r="Q38" s="86" t="s">
        <v>385</v>
      </c>
      <c r="R38" s="37">
        <v>51</v>
      </c>
      <c r="S38" s="39" t="s">
        <v>370</v>
      </c>
      <c r="T38" s="85"/>
      <c r="U38" s="37"/>
      <c r="V38" s="39"/>
      <c r="W38" s="85"/>
      <c r="X38" s="37"/>
      <c r="Y38" s="39"/>
      <c r="Z38" s="85"/>
      <c r="AA38" s="37"/>
      <c r="AB38" s="39"/>
      <c r="AC38" s="85" t="s">
        <v>62</v>
      </c>
      <c r="AD38" s="37" t="s">
        <v>62</v>
      </c>
      <c r="AE38" s="39" t="s">
        <v>62</v>
      </c>
      <c r="AF38" s="90" t="s">
        <v>62</v>
      </c>
      <c r="AG38" s="91" t="s">
        <v>62</v>
      </c>
      <c r="AH38" s="114" t="s">
        <v>62</v>
      </c>
    </row>
    <row r="39" spans="1:74" ht="15" customHeight="1">
      <c r="A39" s="8" t="s">
        <v>397</v>
      </c>
      <c r="B39" s="11" t="s">
        <v>278</v>
      </c>
      <c r="C39" s="40">
        <v>2.94</v>
      </c>
      <c r="D39" s="37">
        <v>2.6</v>
      </c>
      <c r="E39" s="37" t="s">
        <v>80</v>
      </c>
      <c r="F39" s="41" t="s">
        <v>151</v>
      </c>
      <c r="G39" s="31" t="s">
        <v>40</v>
      </c>
      <c r="H39" s="31" t="s">
        <v>355</v>
      </c>
      <c r="I39" s="31" t="s">
        <v>356</v>
      </c>
      <c r="J39" s="39" t="s">
        <v>380</v>
      </c>
      <c r="K39" s="30" t="s">
        <v>372</v>
      </c>
      <c r="L39" s="31" t="s">
        <v>62</v>
      </c>
      <c r="M39" s="32" t="s">
        <v>398</v>
      </c>
      <c r="N39" s="25" t="s">
        <v>47</v>
      </c>
      <c r="O39" s="28" t="s">
        <v>48</v>
      </c>
      <c r="P39" s="29">
        <v>2.5</v>
      </c>
      <c r="Q39" s="86"/>
      <c r="R39" s="37"/>
      <c r="S39" s="39"/>
      <c r="T39" s="85"/>
      <c r="U39" s="37"/>
      <c r="V39" s="39"/>
      <c r="W39" s="85"/>
      <c r="X39" s="37"/>
      <c r="Y39" s="39"/>
      <c r="Z39" s="85"/>
      <c r="AA39" s="37"/>
      <c r="AB39" s="39"/>
      <c r="AC39" s="85"/>
      <c r="AD39" s="37"/>
      <c r="AE39" s="39"/>
      <c r="AF39" s="90"/>
      <c r="AG39" s="91"/>
      <c r="AH39" s="114"/>
    </row>
    <row r="40" spans="1:74" ht="15" customHeight="1">
      <c r="A40" s="53" t="s">
        <v>399</v>
      </c>
      <c r="B40" s="54" t="s">
        <v>278</v>
      </c>
      <c r="C40" s="55">
        <v>2.94</v>
      </c>
      <c r="D40" s="56">
        <v>2.6</v>
      </c>
      <c r="E40" s="56" t="s">
        <v>80</v>
      </c>
      <c r="F40" s="71" t="s">
        <v>151</v>
      </c>
      <c r="G40" s="57" t="s">
        <v>200</v>
      </c>
      <c r="H40" s="57" t="s">
        <v>355</v>
      </c>
      <c r="I40" s="57" t="s">
        <v>356</v>
      </c>
      <c r="J40" s="58" t="s">
        <v>380</v>
      </c>
      <c r="K40" s="59" t="s">
        <v>372</v>
      </c>
      <c r="L40" s="57" t="s">
        <v>45</v>
      </c>
      <c r="M40" s="60" t="s">
        <v>398</v>
      </c>
      <c r="N40" s="61" t="s">
        <v>47</v>
      </c>
      <c r="O40" s="62" t="s">
        <v>48</v>
      </c>
      <c r="P40" s="63">
        <v>2.5</v>
      </c>
      <c r="Q40" s="165"/>
      <c r="R40" s="56"/>
      <c r="S40" s="58"/>
      <c r="T40" s="166"/>
      <c r="U40" s="56"/>
      <c r="V40" s="58"/>
      <c r="W40" s="166"/>
      <c r="X40" s="56"/>
      <c r="Y40" s="58"/>
      <c r="Z40" s="166"/>
      <c r="AA40" s="56"/>
      <c r="AB40" s="58"/>
      <c r="AC40" s="166"/>
      <c r="AD40" s="56"/>
      <c r="AE40" s="58"/>
      <c r="AF40" s="167"/>
      <c r="AG40" s="168"/>
      <c r="AH40" s="169"/>
    </row>
    <row r="41" spans="1:74" ht="15" customHeight="1">
      <c r="A41" s="8" t="s">
        <v>400</v>
      </c>
      <c r="B41" s="11" t="s">
        <v>187</v>
      </c>
      <c r="C41" s="40">
        <v>3</v>
      </c>
      <c r="D41" s="37">
        <v>2.1</v>
      </c>
      <c r="E41" s="37" t="s">
        <v>67</v>
      </c>
      <c r="F41" s="11" t="s">
        <v>401</v>
      </c>
      <c r="G41" s="31" t="s">
        <v>40</v>
      </c>
      <c r="H41" s="31" t="s">
        <v>402</v>
      </c>
      <c r="I41" s="31" t="s">
        <v>222</v>
      </c>
      <c r="J41" s="39" t="s">
        <v>403</v>
      </c>
      <c r="K41" s="30" t="s">
        <v>302</v>
      </c>
      <c r="L41" s="31" t="s">
        <v>62</v>
      </c>
      <c r="M41" s="32" t="s">
        <v>46</v>
      </c>
      <c r="N41" s="25" t="s">
        <v>47</v>
      </c>
      <c r="O41" s="28" t="s">
        <v>48</v>
      </c>
      <c r="P41" s="29">
        <v>4</v>
      </c>
      <c r="Q41" s="86" t="s">
        <v>404</v>
      </c>
      <c r="R41" s="37">
        <v>49</v>
      </c>
      <c r="S41" s="39" t="s">
        <v>405</v>
      </c>
      <c r="T41" s="85" t="s">
        <v>303</v>
      </c>
      <c r="U41" s="37" t="s">
        <v>404</v>
      </c>
      <c r="V41" s="39" t="s">
        <v>304</v>
      </c>
      <c r="W41" s="85" t="s">
        <v>292</v>
      </c>
      <c r="X41" s="37" t="s">
        <v>406</v>
      </c>
      <c r="Y41" s="39" t="s">
        <v>275</v>
      </c>
      <c r="Z41" s="85" t="s">
        <v>309</v>
      </c>
      <c r="AA41" s="37" t="s">
        <v>336</v>
      </c>
      <c r="AB41" s="39" t="s">
        <v>241</v>
      </c>
      <c r="AC41" s="85" t="s">
        <v>195</v>
      </c>
      <c r="AD41" s="37" t="s">
        <v>306</v>
      </c>
      <c r="AE41" s="39" t="s">
        <v>407</v>
      </c>
      <c r="AF41" s="90" t="s">
        <v>159</v>
      </c>
      <c r="AG41" s="91" t="s">
        <v>405</v>
      </c>
      <c r="AH41" s="114" t="s">
        <v>174</v>
      </c>
    </row>
    <row r="42" spans="1:74" ht="15" customHeight="1">
      <c r="A42" s="8" t="s">
        <v>408</v>
      </c>
      <c r="B42" s="11" t="s">
        <v>37</v>
      </c>
      <c r="C42" s="40">
        <v>3.1</v>
      </c>
      <c r="D42" s="37">
        <v>1.9</v>
      </c>
      <c r="E42" s="37" t="s">
        <v>409</v>
      </c>
      <c r="F42" s="41" t="s">
        <v>410</v>
      </c>
      <c r="G42" s="31" t="s">
        <v>40</v>
      </c>
      <c r="H42" s="31" t="s">
        <v>411</v>
      </c>
      <c r="I42" s="31" t="s">
        <v>236</v>
      </c>
      <c r="J42" s="39" t="s">
        <v>412</v>
      </c>
      <c r="K42" s="30" t="s">
        <v>413</v>
      </c>
      <c r="L42" s="31" t="s">
        <v>45</v>
      </c>
      <c r="M42" s="32" t="s">
        <v>63</v>
      </c>
      <c r="N42" s="25" t="s">
        <v>47</v>
      </c>
      <c r="O42" s="28" t="s">
        <v>48</v>
      </c>
      <c r="P42" s="29">
        <v>7.8</v>
      </c>
      <c r="Q42" s="86" t="s">
        <v>366</v>
      </c>
      <c r="R42" s="37">
        <v>50</v>
      </c>
      <c r="S42" s="39" t="s">
        <v>361</v>
      </c>
      <c r="T42" s="85" t="s">
        <v>292</v>
      </c>
      <c r="U42" s="37" t="s">
        <v>414</v>
      </c>
      <c r="V42" s="39" t="s">
        <v>293</v>
      </c>
      <c r="W42" s="85" t="s">
        <v>195</v>
      </c>
      <c r="X42" s="37" t="s">
        <v>415</v>
      </c>
      <c r="Y42" s="39" t="s">
        <v>111</v>
      </c>
      <c r="Z42" s="85" t="s">
        <v>174</v>
      </c>
      <c r="AA42" s="37" t="s">
        <v>416</v>
      </c>
      <c r="AB42" s="39" t="s">
        <v>335</v>
      </c>
      <c r="AC42" s="85" t="s">
        <v>175</v>
      </c>
      <c r="AD42" s="37" t="s">
        <v>367</v>
      </c>
      <c r="AE42" s="39" t="s">
        <v>417</v>
      </c>
      <c r="AF42" s="85" t="s">
        <v>317</v>
      </c>
      <c r="AG42" s="37" t="s">
        <v>196</v>
      </c>
      <c r="AH42" s="37" t="s">
        <v>418</v>
      </c>
    </row>
    <row r="43" spans="1:74" ht="15" customHeight="1">
      <c r="A43" s="8" t="s">
        <v>419</v>
      </c>
      <c r="B43" s="11" t="s">
        <v>278</v>
      </c>
      <c r="C43" s="40">
        <v>3.2</v>
      </c>
      <c r="D43" s="37">
        <v>1.8</v>
      </c>
      <c r="E43" s="37" t="s">
        <v>38</v>
      </c>
      <c r="F43" s="11" t="s">
        <v>420</v>
      </c>
      <c r="G43" s="31" t="s">
        <v>40</v>
      </c>
      <c r="H43" s="31" t="s">
        <v>389</v>
      </c>
      <c r="I43" s="31" t="s">
        <v>202</v>
      </c>
      <c r="J43" s="39" t="s">
        <v>421</v>
      </c>
      <c r="K43" s="30" t="s">
        <v>72</v>
      </c>
      <c r="L43" s="31" t="s">
        <v>45</v>
      </c>
      <c r="M43" s="32" t="s">
        <v>63</v>
      </c>
      <c r="N43" s="25" t="s">
        <v>47</v>
      </c>
      <c r="O43" s="28" t="s">
        <v>48</v>
      </c>
      <c r="P43" s="29">
        <v>1.7</v>
      </c>
      <c r="Q43" s="86" t="s">
        <v>414</v>
      </c>
      <c r="R43" s="37">
        <v>49</v>
      </c>
      <c r="S43" s="39" t="s">
        <v>422</v>
      </c>
      <c r="T43" s="85" t="s">
        <v>193</v>
      </c>
      <c r="U43" s="37" t="s">
        <v>414</v>
      </c>
      <c r="V43" s="39" t="s">
        <v>174</v>
      </c>
      <c r="W43" s="85" t="s">
        <v>343</v>
      </c>
      <c r="X43" s="37" t="s">
        <v>386</v>
      </c>
      <c r="Y43" s="39" t="s">
        <v>267</v>
      </c>
      <c r="Z43" s="85"/>
      <c r="AA43" s="37"/>
      <c r="AB43" s="39"/>
      <c r="AC43" s="85" t="s">
        <v>62</v>
      </c>
      <c r="AD43" s="37" t="s">
        <v>62</v>
      </c>
      <c r="AE43" s="39" t="s">
        <v>62</v>
      </c>
      <c r="AF43" s="85" t="s">
        <v>62</v>
      </c>
      <c r="AG43" s="37" t="s">
        <v>62</v>
      </c>
      <c r="AH43" s="37" t="s">
        <v>62</v>
      </c>
    </row>
    <row r="44" spans="1:74" s="64" customFormat="1" ht="15" customHeight="1">
      <c r="A44" s="9" t="s">
        <v>423</v>
      </c>
      <c r="B44" s="11" t="s">
        <v>424</v>
      </c>
      <c r="C44" s="40">
        <v>3.24</v>
      </c>
      <c r="D44" s="37" t="s">
        <v>425</v>
      </c>
      <c r="E44" s="37" t="s">
        <v>426</v>
      </c>
      <c r="F44" s="11" t="s">
        <v>427</v>
      </c>
      <c r="G44" s="31" t="s">
        <v>40</v>
      </c>
      <c r="H44" s="31" t="s">
        <v>364</v>
      </c>
      <c r="I44" s="31" t="s">
        <v>153</v>
      </c>
      <c r="J44" s="39" t="s">
        <v>380</v>
      </c>
      <c r="K44" s="30" t="s">
        <v>428</v>
      </c>
      <c r="L44" s="31" t="s">
        <v>45</v>
      </c>
      <c r="M44" s="32" t="s">
        <v>46</v>
      </c>
      <c r="N44" s="25" t="s">
        <v>47</v>
      </c>
      <c r="O44" s="28" t="s">
        <v>48</v>
      </c>
      <c r="P44" s="29">
        <v>1.5</v>
      </c>
      <c r="Q44" s="86" t="s">
        <v>429</v>
      </c>
      <c r="R44" s="37">
        <v>46</v>
      </c>
      <c r="S44" s="39" t="s">
        <v>430</v>
      </c>
      <c r="T44" s="85" t="s">
        <v>306</v>
      </c>
      <c r="U44" s="37" t="s">
        <v>429</v>
      </c>
      <c r="V44" s="39" t="s">
        <v>431</v>
      </c>
      <c r="W44" s="85" t="s">
        <v>361</v>
      </c>
      <c r="X44" s="37" t="s">
        <v>432</v>
      </c>
      <c r="Y44" s="39" t="s">
        <v>342</v>
      </c>
      <c r="Z44" s="85" t="s">
        <v>433</v>
      </c>
      <c r="AA44" s="37" t="s">
        <v>434</v>
      </c>
      <c r="AB44" s="39" t="s">
        <v>360</v>
      </c>
      <c r="AC44" s="85" t="s">
        <v>309</v>
      </c>
      <c r="AD44" s="37" t="s">
        <v>303</v>
      </c>
      <c r="AE44" s="39" t="s">
        <v>359</v>
      </c>
      <c r="AF44" s="85" t="s">
        <v>62</v>
      </c>
      <c r="AG44" s="37" t="s">
        <v>62</v>
      </c>
      <c r="AH44" s="87" t="s">
        <v>62</v>
      </c>
    </row>
    <row r="45" spans="1:74" ht="15" customHeight="1">
      <c r="A45" s="9" t="s">
        <v>435</v>
      </c>
      <c r="B45" s="11" t="s">
        <v>278</v>
      </c>
      <c r="C45" s="40">
        <v>3.3</v>
      </c>
      <c r="D45" s="37">
        <v>2.2000000000000002</v>
      </c>
      <c r="E45" s="37" t="s">
        <v>436</v>
      </c>
      <c r="F45" s="11" t="s">
        <v>437</v>
      </c>
      <c r="G45" s="31" t="s">
        <v>40</v>
      </c>
      <c r="H45" s="31" t="s">
        <v>389</v>
      </c>
      <c r="I45" s="31" t="s">
        <v>438</v>
      </c>
      <c r="J45" s="39" t="s">
        <v>439</v>
      </c>
      <c r="K45" s="30" t="s">
        <v>61</v>
      </c>
      <c r="L45" s="31" t="s">
        <v>62</v>
      </c>
      <c r="M45" s="32" t="s">
        <v>46</v>
      </c>
      <c r="N45" s="25" t="s">
        <v>47</v>
      </c>
      <c r="O45" s="28" t="s">
        <v>48</v>
      </c>
      <c r="P45" s="29">
        <v>1.3</v>
      </c>
      <c r="Q45" s="86" t="s">
        <v>440</v>
      </c>
      <c r="R45" s="37">
        <v>44</v>
      </c>
      <c r="S45" s="39" t="s">
        <v>441</v>
      </c>
      <c r="T45" s="85" t="s">
        <v>442</v>
      </c>
      <c r="U45" s="37" t="s">
        <v>440</v>
      </c>
      <c r="V45" s="39" t="s">
        <v>361</v>
      </c>
      <c r="W45" s="85" t="s">
        <v>295</v>
      </c>
      <c r="X45" s="37" t="s">
        <v>443</v>
      </c>
      <c r="Y45" s="39" t="s">
        <v>292</v>
      </c>
      <c r="Z45" s="85" t="s">
        <v>334</v>
      </c>
      <c r="AA45" s="37" t="s">
        <v>430</v>
      </c>
      <c r="AB45" s="39" t="s">
        <v>292</v>
      </c>
      <c r="AC45" s="85" t="s">
        <v>62</v>
      </c>
      <c r="AD45" s="37" t="s">
        <v>62</v>
      </c>
      <c r="AE45" s="39" t="s">
        <v>62</v>
      </c>
      <c r="AF45" s="85" t="s">
        <v>62</v>
      </c>
      <c r="AG45" s="37" t="s">
        <v>62</v>
      </c>
      <c r="AH45" s="37" t="s">
        <v>62</v>
      </c>
    </row>
    <row r="46" spans="1:74" ht="15" customHeight="1">
      <c r="A46" s="8" t="s">
        <v>444</v>
      </c>
      <c r="B46" s="11" t="s">
        <v>278</v>
      </c>
      <c r="C46" s="40">
        <v>3.45</v>
      </c>
      <c r="D46" s="37">
        <v>2.1</v>
      </c>
      <c r="E46" s="37" t="s">
        <v>38</v>
      </c>
      <c r="F46" s="41" t="s">
        <v>58</v>
      </c>
      <c r="G46" s="31" t="s">
        <v>285</v>
      </c>
      <c r="H46" s="31" t="s">
        <v>445</v>
      </c>
      <c r="I46" s="31" t="s">
        <v>153</v>
      </c>
      <c r="J46" s="39" t="s">
        <v>446</v>
      </c>
      <c r="K46" s="30" t="s">
        <v>61</v>
      </c>
      <c r="L46" s="31" t="s">
        <v>92</v>
      </c>
      <c r="M46" s="32" t="s">
        <v>63</v>
      </c>
      <c r="N46" s="25" t="s">
        <v>47</v>
      </c>
      <c r="O46" s="28" t="s">
        <v>48</v>
      </c>
      <c r="P46" s="29">
        <v>2</v>
      </c>
      <c r="Q46" s="86" t="s">
        <v>415</v>
      </c>
      <c r="R46" s="37">
        <v>45</v>
      </c>
      <c r="S46" s="39" t="s">
        <v>405</v>
      </c>
      <c r="T46" s="85" t="s">
        <v>357</v>
      </c>
      <c r="U46" s="37" t="s">
        <v>386</v>
      </c>
      <c r="V46" s="39" t="s">
        <v>348</v>
      </c>
      <c r="W46" s="85" t="s">
        <v>259</v>
      </c>
      <c r="X46" s="37" t="s">
        <v>432</v>
      </c>
      <c r="Y46" s="39" t="s">
        <v>293</v>
      </c>
      <c r="Z46" s="85"/>
      <c r="AA46" s="37"/>
      <c r="AB46" s="39"/>
      <c r="AC46" s="85" t="s">
        <v>62</v>
      </c>
      <c r="AD46" s="37" t="s">
        <v>62</v>
      </c>
      <c r="AE46" s="39" t="s">
        <v>62</v>
      </c>
      <c r="AF46" s="85" t="s">
        <v>62</v>
      </c>
      <c r="AG46" s="37" t="s">
        <v>62</v>
      </c>
      <c r="AH46" s="37" t="s">
        <v>62</v>
      </c>
    </row>
    <row r="47" spans="1:74" ht="15" customHeight="1">
      <c r="A47" s="8" t="s">
        <v>447</v>
      </c>
      <c r="B47" s="11" t="s">
        <v>278</v>
      </c>
      <c r="C47" s="40">
        <v>3.5</v>
      </c>
      <c r="D47" s="37">
        <v>2.4</v>
      </c>
      <c r="E47" s="37" t="s">
        <v>80</v>
      </c>
      <c r="F47" s="41" t="s">
        <v>170</v>
      </c>
      <c r="G47" s="31" t="s">
        <v>40</v>
      </c>
      <c r="H47" s="31" t="s">
        <v>448</v>
      </c>
      <c r="I47" s="31" t="s">
        <v>153</v>
      </c>
      <c r="J47" s="39" t="s">
        <v>449</v>
      </c>
      <c r="K47" s="30" t="s">
        <v>72</v>
      </c>
      <c r="L47" s="31" t="s">
        <v>62</v>
      </c>
      <c r="M47" s="32" t="s">
        <v>63</v>
      </c>
      <c r="N47" s="25" t="s">
        <v>47</v>
      </c>
      <c r="O47" s="28" t="s">
        <v>48</v>
      </c>
      <c r="P47" s="29">
        <v>2.2000000000000002</v>
      </c>
      <c r="Q47" s="86" t="s">
        <v>429</v>
      </c>
      <c r="R47" s="37">
        <v>44</v>
      </c>
      <c r="S47" s="39" t="s">
        <v>351</v>
      </c>
      <c r="T47" s="85" t="s">
        <v>303</v>
      </c>
      <c r="U47" s="37" t="s">
        <v>429</v>
      </c>
      <c r="V47" s="39" t="s">
        <v>275</v>
      </c>
      <c r="W47" s="85" t="s">
        <v>315</v>
      </c>
      <c r="X47" s="37" t="s">
        <v>450</v>
      </c>
      <c r="Y47" s="39" t="s">
        <v>349</v>
      </c>
      <c r="Z47" s="85" t="s">
        <v>359</v>
      </c>
      <c r="AA47" s="37" t="s">
        <v>370</v>
      </c>
      <c r="AB47" s="39" t="s">
        <v>264</v>
      </c>
      <c r="AC47" s="85" t="s">
        <v>328</v>
      </c>
      <c r="AD47" s="37" t="s">
        <v>430</v>
      </c>
      <c r="AE47" s="39" t="s">
        <v>156</v>
      </c>
      <c r="AF47" s="85" t="s">
        <v>62</v>
      </c>
      <c r="AG47" s="37" t="s">
        <v>62</v>
      </c>
      <c r="AH47" s="37" t="s">
        <v>62</v>
      </c>
    </row>
    <row r="48" spans="1:74" ht="15" customHeight="1">
      <c r="A48" s="9" t="s">
        <v>451</v>
      </c>
      <c r="B48" s="11" t="s">
        <v>278</v>
      </c>
      <c r="C48" s="40">
        <v>3.5</v>
      </c>
      <c r="D48" s="37">
        <v>2.2000000000000002</v>
      </c>
      <c r="E48" s="37" t="s">
        <v>57</v>
      </c>
      <c r="F48" s="41" t="s">
        <v>123</v>
      </c>
      <c r="G48" s="31" t="s">
        <v>40</v>
      </c>
      <c r="H48" s="31" t="s">
        <v>402</v>
      </c>
      <c r="I48" s="31" t="s">
        <v>153</v>
      </c>
      <c r="J48" s="39" t="s">
        <v>452</v>
      </c>
      <c r="K48" s="30" t="s">
        <v>61</v>
      </c>
      <c r="L48" s="31" t="s">
        <v>453</v>
      </c>
      <c r="M48" s="32" t="s">
        <v>46</v>
      </c>
      <c r="N48" s="25" t="s">
        <v>47</v>
      </c>
      <c r="O48" s="28" t="s">
        <v>48</v>
      </c>
      <c r="P48" s="29">
        <v>1.5</v>
      </c>
      <c r="Q48" s="86" t="s">
        <v>386</v>
      </c>
      <c r="R48" s="37">
        <v>45</v>
      </c>
      <c r="S48" s="39" t="s">
        <v>405</v>
      </c>
      <c r="T48" s="85" t="s">
        <v>367</v>
      </c>
      <c r="U48" s="37" t="s">
        <v>386</v>
      </c>
      <c r="V48" s="39" t="s">
        <v>281</v>
      </c>
      <c r="W48" s="85" t="s">
        <v>305</v>
      </c>
      <c r="X48" s="37" t="s">
        <v>432</v>
      </c>
      <c r="Y48" s="39" t="s">
        <v>308</v>
      </c>
      <c r="Z48" s="85" t="s">
        <v>454</v>
      </c>
      <c r="AA48" s="37" t="s">
        <v>336</v>
      </c>
      <c r="AB48" s="39" t="s">
        <v>105</v>
      </c>
      <c r="AC48" s="85" t="s">
        <v>248</v>
      </c>
      <c r="AD48" s="37" t="s">
        <v>442</v>
      </c>
      <c r="AE48" s="39" t="s">
        <v>117</v>
      </c>
      <c r="AF48" s="85" t="s">
        <v>272</v>
      </c>
      <c r="AG48" s="37" t="s">
        <v>405</v>
      </c>
      <c r="AH48" s="37" t="s">
        <v>455</v>
      </c>
    </row>
    <row r="49" spans="1:74" ht="15" customHeight="1">
      <c r="A49" s="9" t="s">
        <v>456</v>
      </c>
      <c r="B49" s="11" t="s">
        <v>278</v>
      </c>
      <c r="C49" s="40">
        <v>3.5</v>
      </c>
      <c r="D49" s="37">
        <v>1.8</v>
      </c>
      <c r="E49" s="37" t="s">
        <v>67</v>
      </c>
      <c r="F49" s="41" t="s">
        <v>151</v>
      </c>
      <c r="G49" s="31" t="s">
        <v>40</v>
      </c>
      <c r="H49" s="31" t="s">
        <v>299</v>
      </c>
      <c r="I49" s="31" t="s">
        <v>135</v>
      </c>
      <c r="J49" s="39" t="s">
        <v>457</v>
      </c>
      <c r="K49" s="30" t="s">
        <v>192</v>
      </c>
      <c r="L49" s="31" t="s">
        <v>62</v>
      </c>
      <c r="M49" s="32" t="s">
        <v>63</v>
      </c>
      <c r="N49" s="25" t="s">
        <v>47</v>
      </c>
      <c r="O49" s="28" t="s">
        <v>48</v>
      </c>
      <c r="P49" s="29">
        <v>2.2000000000000002</v>
      </c>
      <c r="Q49" s="86" t="s">
        <v>386</v>
      </c>
      <c r="R49" s="37">
        <v>45</v>
      </c>
      <c r="S49" s="39" t="s">
        <v>351</v>
      </c>
      <c r="T49" s="85" t="s">
        <v>336</v>
      </c>
      <c r="U49" s="37" t="s">
        <v>429</v>
      </c>
      <c r="V49" s="39" t="s">
        <v>275</v>
      </c>
      <c r="W49" s="85" t="s">
        <v>315</v>
      </c>
      <c r="X49" s="37" t="s">
        <v>450</v>
      </c>
      <c r="Y49" s="39" t="s">
        <v>349</v>
      </c>
      <c r="Z49" s="85" t="s">
        <v>194</v>
      </c>
      <c r="AA49" s="37" t="s">
        <v>336</v>
      </c>
      <c r="AB49" s="39" t="s">
        <v>248</v>
      </c>
      <c r="AC49" s="85" t="s">
        <v>62</v>
      </c>
      <c r="AD49" s="37" t="s">
        <v>62</v>
      </c>
      <c r="AE49" s="39" t="s">
        <v>62</v>
      </c>
      <c r="AF49" s="85" t="s">
        <v>62</v>
      </c>
      <c r="AG49" s="37" t="s">
        <v>62</v>
      </c>
      <c r="AH49" s="37" t="s">
        <v>62</v>
      </c>
    </row>
    <row r="50" spans="1:74" ht="15" customHeight="1">
      <c r="A50" s="8" t="s">
        <v>458</v>
      </c>
      <c r="B50" s="11" t="s">
        <v>278</v>
      </c>
      <c r="C50" s="40">
        <v>3.6</v>
      </c>
      <c r="D50" s="37">
        <v>1.9</v>
      </c>
      <c r="E50" s="37" t="s">
        <v>86</v>
      </c>
      <c r="F50" s="41" t="s">
        <v>170</v>
      </c>
      <c r="G50" s="31" t="s">
        <v>40</v>
      </c>
      <c r="H50" s="31" t="s">
        <v>346</v>
      </c>
      <c r="I50" s="31" t="s">
        <v>459</v>
      </c>
      <c r="J50" s="39" t="s">
        <v>173</v>
      </c>
      <c r="K50" s="30" t="s">
        <v>61</v>
      </c>
      <c r="L50" s="31" t="s">
        <v>239</v>
      </c>
      <c r="M50" s="32" t="s">
        <v>63</v>
      </c>
      <c r="N50" s="25" t="s">
        <v>47</v>
      </c>
      <c r="O50" s="28" t="s">
        <v>48</v>
      </c>
      <c r="P50" s="29">
        <v>1.6</v>
      </c>
      <c r="Q50" s="86" t="s">
        <v>406</v>
      </c>
      <c r="R50" s="37">
        <v>43</v>
      </c>
      <c r="S50" s="39" t="s">
        <v>434</v>
      </c>
      <c r="T50" s="85" t="s">
        <v>370</v>
      </c>
      <c r="U50" s="37" t="s">
        <v>406</v>
      </c>
      <c r="V50" s="39" t="s">
        <v>259</v>
      </c>
      <c r="W50" s="85" t="s">
        <v>329</v>
      </c>
      <c r="X50" s="37" t="s">
        <v>443</v>
      </c>
      <c r="Y50" s="39" t="s">
        <v>195</v>
      </c>
      <c r="Z50" s="85"/>
      <c r="AA50" s="37"/>
      <c r="AB50" s="39"/>
      <c r="AC50" s="85" t="s">
        <v>62</v>
      </c>
      <c r="AD50" s="37" t="s">
        <v>62</v>
      </c>
      <c r="AE50" s="39" t="s">
        <v>62</v>
      </c>
      <c r="AF50" s="85" t="s">
        <v>62</v>
      </c>
      <c r="AG50" s="37" t="s">
        <v>62</v>
      </c>
      <c r="AH50" s="37" t="s">
        <v>62</v>
      </c>
    </row>
    <row r="51" spans="1:74" s="64" customFormat="1" ht="15" customHeight="1">
      <c r="A51" s="53" t="s">
        <v>738</v>
      </c>
      <c r="B51" s="54" t="s">
        <v>278</v>
      </c>
      <c r="C51" s="55">
        <v>3.6</v>
      </c>
      <c r="D51" s="56">
        <v>1.6</v>
      </c>
      <c r="E51" s="56" t="s">
        <v>38</v>
      </c>
      <c r="F51" s="71" t="s">
        <v>743</v>
      </c>
      <c r="G51" s="57" t="s">
        <v>285</v>
      </c>
      <c r="H51" s="57" t="s">
        <v>739</v>
      </c>
      <c r="I51" s="57" t="s">
        <v>135</v>
      </c>
      <c r="J51" s="58" t="s">
        <v>327</v>
      </c>
      <c r="K51" s="59" t="s">
        <v>223</v>
      </c>
      <c r="L51" s="57" t="s">
        <v>92</v>
      </c>
      <c r="M51" s="60" t="s">
        <v>63</v>
      </c>
      <c r="N51" s="61" t="s">
        <v>47</v>
      </c>
      <c r="O51" s="62" t="s">
        <v>48</v>
      </c>
      <c r="P51" s="63">
        <v>1.6</v>
      </c>
      <c r="Q51" s="165"/>
      <c r="R51" s="56"/>
      <c r="S51" s="58"/>
      <c r="T51" s="166"/>
      <c r="U51" s="56"/>
      <c r="V51" s="58"/>
      <c r="W51" s="166"/>
      <c r="X51" s="56"/>
      <c r="Y51" s="58"/>
      <c r="Z51" s="166"/>
      <c r="AA51" s="56"/>
      <c r="AB51" s="58"/>
      <c r="AC51" s="166"/>
      <c r="AD51" s="56"/>
      <c r="AE51" s="58"/>
      <c r="AF51" s="166"/>
      <c r="AG51" s="56"/>
      <c r="AH51" s="56"/>
    </row>
    <row r="52" spans="1:74" ht="15" customHeight="1">
      <c r="A52" s="8" t="s">
        <v>460</v>
      </c>
      <c r="B52" s="11" t="s">
        <v>187</v>
      </c>
      <c r="C52" s="40">
        <v>3.8</v>
      </c>
      <c r="D52" s="37">
        <v>3</v>
      </c>
      <c r="E52" s="37" t="s">
        <v>57</v>
      </c>
      <c r="F52" s="41" t="s">
        <v>427</v>
      </c>
      <c r="G52" s="31" t="s">
        <v>40</v>
      </c>
      <c r="H52" s="31" t="s">
        <v>299</v>
      </c>
      <c r="I52" s="31" t="s">
        <v>461</v>
      </c>
      <c r="J52" s="39" t="s">
        <v>462</v>
      </c>
      <c r="K52" s="30" t="s">
        <v>173</v>
      </c>
      <c r="L52" s="31" t="s">
        <v>62</v>
      </c>
      <c r="M52" s="32" t="s">
        <v>63</v>
      </c>
      <c r="N52" s="25" t="s">
        <v>47</v>
      </c>
      <c r="O52" s="28" t="s">
        <v>48</v>
      </c>
      <c r="P52" s="29">
        <v>2.5</v>
      </c>
      <c r="Q52" s="86" t="s">
        <v>463</v>
      </c>
      <c r="R52" s="37">
        <v>38</v>
      </c>
      <c r="S52" s="39" t="s">
        <v>386</v>
      </c>
      <c r="T52" s="85" t="s">
        <v>404</v>
      </c>
      <c r="U52" s="37" t="s">
        <v>463</v>
      </c>
      <c r="V52" s="39" t="s">
        <v>405</v>
      </c>
      <c r="W52" s="85" t="s">
        <v>434</v>
      </c>
      <c r="X52" s="37" t="s">
        <v>464</v>
      </c>
      <c r="Y52" s="39" t="s">
        <v>367</v>
      </c>
      <c r="Z52" s="85" t="s">
        <v>370</v>
      </c>
      <c r="AA52" s="37" t="s">
        <v>369</v>
      </c>
      <c r="AB52" s="39" t="s">
        <v>292</v>
      </c>
      <c r="AC52" s="85" t="s">
        <v>62</v>
      </c>
      <c r="AD52" s="37" t="s">
        <v>62</v>
      </c>
      <c r="AE52" s="39" t="s">
        <v>62</v>
      </c>
      <c r="AF52" s="85" t="s">
        <v>62</v>
      </c>
      <c r="AG52" s="37" t="s">
        <v>62</v>
      </c>
      <c r="AH52" s="37" t="s">
        <v>62</v>
      </c>
    </row>
    <row r="53" spans="1:74" ht="15" customHeight="1">
      <c r="A53" s="9" t="s">
        <v>465</v>
      </c>
      <c r="B53" s="11" t="s">
        <v>187</v>
      </c>
      <c r="C53" s="40">
        <v>3.9</v>
      </c>
      <c r="D53" s="37">
        <v>2.8</v>
      </c>
      <c r="E53" s="37" t="s">
        <v>325</v>
      </c>
      <c r="F53" s="11" t="s">
        <v>437</v>
      </c>
      <c r="G53" s="31" t="s">
        <v>40</v>
      </c>
      <c r="H53" s="31" t="s">
        <v>466</v>
      </c>
      <c r="I53" s="31" t="s">
        <v>190</v>
      </c>
      <c r="J53" s="39" t="s">
        <v>467</v>
      </c>
      <c r="K53" s="30" t="s">
        <v>61</v>
      </c>
      <c r="L53" s="31" t="s">
        <v>62</v>
      </c>
      <c r="M53" s="32" t="s">
        <v>46</v>
      </c>
      <c r="N53" s="25" t="s">
        <v>47</v>
      </c>
      <c r="O53" s="28" t="s">
        <v>48</v>
      </c>
      <c r="P53" s="29">
        <v>1.9</v>
      </c>
      <c r="Q53" s="86" t="s">
        <v>463</v>
      </c>
      <c r="R53" s="37">
        <v>38</v>
      </c>
      <c r="S53" s="39" t="s">
        <v>386</v>
      </c>
      <c r="T53" s="85" t="s">
        <v>404</v>
      </c>
      <c r="U53" s="37" t="s">
        <v>463</v>
      </c>
      <c r="V53" s="39" t="s">
        <v>405</v>
      </c>
      <c r="W53" s="85" t="s">
        <v>434</v>
      </c>
      <c r="X53" s="37" t="s">
        <v>464</v>
      </c>
      <c r="Y53" s="39" t="s">
        <v>367</v>
      </c>
      <c r="Z53" s="85" t="s">
        <v>336</v>
      </c>
      <c r="AA53" s="37" t="s">
        <v>404</v>
      </c>
      <c r="AB53" s="39" t="s">
        <v>292</v>
      </c>
      <c r="AC53" s="85" t="s">
        <v>62</v>
      </c>
      <c r="AD53" s="37" t="s">
        <v>62</v>
      </c>
      <c r="AE53" s="39" t="s">
        <v>62</v>
      </c>
      <c r="AF53" s="85" t="s">
        <v>62</v>
      </c>
      <c r="AG53" s="37" t="s">
        <v>62</v>
      </c>
      <c r="AH53" s="37" t="s">
        <v>62</v>
      </c>
    </row>
    <row r="54" spans="1:74" ht="15" customHeight="1">
      <c r="A54" s="8" t="s">
        <v>468</v>
      </c>
      <c r="B54" s="11" t="s">
        <v>278</v>
      </c>
      <c r="C54" s="40">
        <v>3.9</v>
      </c>
      <c r="D54" s="37">
        <v>1.6</v>
      </c>
      <c r="E54" s="37" t="s">
        <v>254</v>
      </c>
      <c r="F54" s="11" t="s">
        <v>469</v>
      </c>
      <c r="G54" s="31" t="s">
        <v>40</v>
      </c>
      <c r="H54" s="31" t="s">
        <v>470</v>
      </c>
      <c r="I54" s="31" t="s">
        <v>471</v>
      </c>
      <c r="J54" s="39" t="s">
        <v>472</v>
      </c>
      <c r="K54" s="46" t="s">
        <v>173</v>
      </c>
      <c r="L54" s="31" t="s">
        <v>239</v>
      </c>
      <c r="M54" s="32" t="s">
        <v>104</v>
      </c>
      <c r="N54" s="25" t="s">
        <v>47</v>
      </c>
      <c r="O54" s="28" t="s">
        <v>48</v>
      </c>
      <c r="P54" s="29">
        <v>6.5</v>
      </c>
      <c r="Q54" s="86" t="s">
        <v>450</v>
      </c>
      <c r="R54" s="37">
        <v>40</v>
      </c>
      <c r="S54" s="39" t="s">
        <v>384</v>
      </c>
      <c r="T54" s="85" t="s">
        <v>430</v>
      </c>
      <c r="U54" s="37" t="s">
        <v>450</v>
      </c>
      <c r="V54" s="39" t="s">
        <v>416</v>
      </c>
      <c r="W54" s="85" t="s">
        <v>361</v>
      </c>
      <c r="X54" s="37" t="s">
        <v>473</v>
      </c>
      <c r="Y54" s="39" t="s">
        <v>305</v>
      </c>
      <c r="Z54" s="85" t="s">
        <v>342</v>
      </c>
      <c r="AA54" s="37" t="s">
        <v>344</v>
      </c>
      <c r="AB54" s="39" t="s">
        <v>474</v>
      </c>
      <c r="AC54" s="85" t="s">
        <v>293</v>
      </c>
      <c r="AD54" s="37" t="s">
        <v>358</v>
      </c>
      <c r="AE54" s="39" t="s">
        <v>93</v>
      </c>
      <c r="AF54" s="85" t="s">
        <v>155</v>
      </c>
      <c r="AG54" s="37" t="s">
        <v>414</v>
      </c>
      <c r="AH54" s="37" t="s">
        <v>105</v>
      </c>
    </row>
    <row r="55" spans="1:74" ht="15" customHeight="1">
      <c r="A55" s="8" t="s">
        <v>475</v>
      </c>
      <c r="B55" s="11" t="s">
        <v>278</v>
      </c>
      <c r="C55" s="40">
        <v>4</v>
      </c>
      <c r="D55" s="37">
        <v>2</v>
      </c>
      <c r="E55" s="37" t="s">
        <v>409</v>
      </c>
      <c r="F55" s="11" t="s">
        <v>234</v>
      </c>
      <c r="G55" s="31" t="s">
        <v>40</v>
      </c>
      <c r="H55" s="31" t="s">
        <v>476</v>
      </c>
      <c r="I55" s="31" t="s">
        <v>190</v>
      </c>
      <c r="J55" s="39" t="s">
        <v>477</v>
      </c>
      <c r="K55" s="46" t="s">
        <v>478</v>
      </c>
      <c r="L55" s="31" t="s">
        <v>62</v>
      </c>
      <c r="M55" s="32" t="s">
        <v>63</v>
      </c>
      <c r="N55" s="25" t="s">
        <v>47</v>
      </c>
      <c r="O55" s="28" t="s">
        <v>48</v>
      </c>
      <c r="P55" s="29">
        <v>5.5</v>
      </c>
      <c r="Q55" s="86" t="s">
        <v>443</v>
      </c>
      <c r="R55" s="37">
        <v>39</v>
      </c>
      <c r="S55" s="39" t="s">
        <v>358</v>
      </c>
      <c r="T55" s="85" t="s">
        <v>441</v>
      </c>
      <c r="U55" s="37" t="s">
        <v>479</v>
      </c>
      <c r="V55" s="39" t="s">
        <v>196</v>
      </c>
      <c r="W55" s="85" t="s">
        <v>295</v>
      </c>
      <c r="X55" s="37" t="s">
        <v>480</v>
      </c>
      <c r="Y55" s="39" t="s">
        <v>329</v>
      </c>
      <c r="Z55" s="85" t="s">
        <v>433</v>
      </c>
      <c r="AA55" s="37" t="s">
        <v>414</v>
      </c>
      <c r="AB55" s="39" t="s">
        <v>159</v>
      </c>
      <c r="AC55" s="85" t="s">
        <v>195</v>
      </c>
      <c r="AD55" s="37" t="s">
        <v>369</v>
      </c>
      <c r="AE55" s="39" t="s">
        <v>143</v>
      </c>
      <c r="AF55" s="85" t="s">
        <v>62</v>
      </c>
      <c r="AG55" s="37" t="s">
        <v>62</v>
      </c>
      <c r="AH55" s="37" t="s">
        <v>62</v>
      </c>
    </row>
    <row r="56" spans="1:74" ht="15" customHeight="1">
      <c r="A56" s="8" t="s">
        <v>481</v>
      </c>
      <c r="B56" s="11" t="s">
        <v>278</v>
      </c>
      <c r="C56" s="40">
        <v>4</v>
      </c>
      <c r="D56" s="37">
        <v>2</v>
      </c>
      <c r="E56" s="37" t="s">
        <v>67</v>
      </c>
      <c r="F56" s="11" t="s">
        <v>482</v>
      </c>
      <c r="G56" s="31" t="s">
        <v>40</v>
      </c>
      <c r="H56" s="31" t="s">
        <v>402</v>
      </c>
      <c r="I56" s="31" t="s">
        <v>222</v>
      </c>
      <c r="J56" s="39" t="s">
        <v>483</v>
      </c>
      <c r="K56" s="30" t="s">
        <v>484</v>
      </c>
      <c r="L56" s="31" t="s">
        <v>453</v>
      </c>
      <c r="M56" s="32" t="s">
        <v>104</v>
      </c>
      <c r="N56" s="25" t="s">
        <v>47</v>
      </c>
      <c r="O56" s="28" t="s">
        <v>48</v>
      </c>
      <c r="P56" s="29">
        <v>6.5</v>
      </c>
      <c r="Q56" s="86" t="s">
        <v>443</v>
      </c>
      <c r="R56" s="37">
        <v>39</v>
      </c>
      <c r="S56" s="39" t="s">
        <v>384</v>
      </c>
      <c r="T56" s="85" t="s">
        <v>344</v>
      </c>
      <c r="U56" s="37" t="s">
        <v>443</v>
      </c>
      <c r="V56" s="39" t="s">
        <v>416</v>
      </c>
      <c r="W56" s="85" t="s">
        <v>361</v>
      </c>
      <c r="X56" s="37" t="s">
        <v>485</v>
      </c>
      <c r="Y56" s="39" t="s">
        <v>259</v>
      </c>
      <c r="Z56" s="85" t="s">
        <v>304</v>
      </c>
      <c r="AA56" s="37" t="s">
        <v>441</v>
      </c>
      <c r="AB56" s="39" t="s">
        <v>205</v>
      </c>
      <c r="AC56" s="85" t="s">
        <v>307</v>
      </c>
      <c r="AD56" s="37" t="s">
        <v>404</v>
      </c>
      <c r="AE56" s="39" t="s">
        <v>108</v>
      </c>
      <c r="AF56" s="85" t="s">
        <v>227</v>
      </c>
      <c r="AG56" s="37" t="s">
        <v>384</v>
      </c>
      <c r="AH56" s="37" t="s">
        <v>181</v>
      </c>
    </row>
    <row r="57" spans="1:74" ht="15" customHeight="1">
      <c r="A57" s="8" t="s">
        <v>486</v>
      </c>
      <c r="B57" s="11" t="s">
        <v>187</v>
      </c>
      <c r="C57" s="40">
        <v>4.2</v>
      </c>
      <c r="D57" s="37" t="s">
        <v>740</v>
      </c>
      <c r="E57" s="37" t="s">
        <v>741</v>
      </c>
      <c r="F57" s="11" t="s">
        <v>437</v>
      </c>
      <c r="G57" s="31" t="s">
        <v>40</v>
      </c>
      <c r="H57" s="31" t="s">
        <v>402</v>
      </c>
      <c r="I57" s="31" t="s">
        <v>487</v>
      </c>
      <c r="J57" s="39" t="s">
        <v>472</v>
      </c>
      <c r="K57" s="30" t="s">
        <v>302</v>
      </c>
      <c r="L57" s="31" t="s">
        <v>62</v>
      </c>
      <c r="M57" s="32" t="s">
        <v>46</v>
      </c>
      <c r="N57" s="25" t="s">
        <v>47</v>
      </c>
      <c r="O57" s="28" t="s">
        <v>48</v>
      </c>
      <c r="P57" s="29">
        <v>3.1</v>
      </c>
      <c r="Q57" s="86" t="s">
        <v>480</v>
      </c>
      <c r="R57" s="37">
        <v>36</v>
      </c>
      <c r="S57" s="39" t="s">
        <v>440</v>
      </c>
      <c r="T57" s="85" t="s">
        <v>386</v>
      </c>
      <c r="U57" s="37" t="s">
        <v>480</v>
      </c>
      <c r="V57" s="39" t="s">
        <v>430</v>
      </c>
      <c r="W57" s="85" t="s">
        <v>441</v>
      </c>
      <c r="X57" s="37" t="s">
        <v>488</v>
      </c>
      <c r="Y57" s="39" t="s">
        <v>341</v>
      </c>
      <c r="Z57" s="85" t="s">
        <v>306</v>
      </c>
      <c r="AA57" s="37" t="s">
        <v>429</v>
      </c>
      <c r="AB57" s="39" t="s">
        <v>431</v>
      </c>
      <c r="AC57" s="85" t="s">
        <v>361</v>
      </c>
      <c r="AD57" s="37" t="s">
        <v>489</v>
      </c>
      <c r="AE57" s="39" t="s">
        <v>342</v>
      </c>
      <c r="AF57" s="85" t="s">
        <v>334</v>
      </c>
      <c r="AG57" s="37" t="s">
        <v>440</v>
      </c>
      <c r="AH57" s="37" t="s">
        <v>315</v>
      </c>
    </row>
    <row r="58" spans="1:74" ht="15" customHeight="1">
      <c r="A58" s="9" t="s">
        <v>490</v>
      </c>
      <c r="B58" s="11" t="s">
        <v>187</v>
      </c>
      <c r="C58" s="40">
        <v>4.3</v>
      </c>
      <c r="D58" s="37">
        <v>3.2</v>
      </c>
      <c r="E58" s="37" t="s">
        <v>67</v>
      </c>
      <c r="F58" s="11" t="s">
        <v>392</v>
      </c>
      <c r="G58" s="31" t="s">
        <v>40</v>
      </c>
      <c r="H58" s="31" t="s">
        <v>491</v>
      </c>
      <c r="I58" s="31" t="s">
        <v>222</v>
      </c>
      <c r="J58" s="39" t="s">
        <v>302</v>
      </c>
      <c r="K58" s="30" t="s">
        <v>61</v>
      </c>
      <c r="L58" s="31" t="s">
        <v>45</v>
      </c>
      <c r="M58" s="32" t="s">
        <v>46</v>
      </c>
      <c r="N58" s="25" t="s">
        <v>47</v>
      </c>
      <c r="O58" s="28" t="s">
        <v>48</v>
      </c>
      <c r="P58" s="29">
        <v>1.9</v>
      </c>
      <c r="Q58" s="86" t="s">
        <v>464</v>
      </c>
      <c r="R58" s="37">
        <v>34</v>
      </c>
      <c r="S58" s="39" t="s">
        <v>432</v>
      </c>
      <c r="T58" s="85" t="s">
        <v>440</v>
      </c>
      <c r="U58" s="37" t="s">
        <v>492</v>
      </c>
      <c r="V58" s="39" t="s">
        <v>441</v>
      </c>
      <c r="W58" s="85" t="s">
        <v>414</v>
      </c>
      <c r="X58" s="37" t="s">
        <v>493</v>
      </c>
      <c r="Y58" s="39" t="s">
        <v>306</v>
      </c>
      <c r="Z58" s="85" t="s">
        <v>430</v>
      </c>
      <c r="AA58" s="37" t="s">
        <v>494</v>
      </c>
      <c r="AB58" s="39" t="s">
        <v>368</v>
      </c>
      <c r="AC58" s="85" t="s">
        <v>62</v>
      </c>
      <c r="AD58" s="37" t="s">
        <v>62</v>
      </c>
      <c r="AE58" s="39" t="s">
        <v>62</v>
      </c>
      <c r="AF58" s="85" t="s">
        <v>62</v>
      </c>
      <c r="AG58" s="37" t="s">
        <v>62</v>
      </c>
      <c r="AH58" s="37" t="s">
        <v>62</v>
      </c>
    </row>
    <row r="59" spans="1:74" s="64" customFormat="1" ht="15" customHeight="1">
      <c r="A59" s="9" t="s">
        <v>495</v>
      </c>
      <c r="B59" s="11" t="s">
        <v>496</v>
      </c>
      <c r="C59" s="40">
        <v>4.4000000000000004</v>
      </c>
      <c r="D59" s="37">
        <v>2</v>
      </c>
      <c r="E59" s="37" t="s">
        <v>254</v>
      </c>
      <c r="F59" s="11" t="s">
        <v>401</v>
      </c>
      <c r="G59" s="31" t="s">
        <v>200</v>
      </c>
      <c r="H59" s="31" t="s">
        <v>411</v>
      </c>
      <c r="I59" s="31" t="s">
        <v>42</v>
      </c>
      <c r="J59" s="39" t="s">
        <v>472</v>
      </c>
      <c r="K59" s="30" t="s">
        <v>497</v>
      </c>
      <c r="L59" s="31" t="s">
        <v>62</v>
      </c>
      <c r="M59" s="32" t="s">
        <v>63</v>
      </c>
      <c r="N59" s="25" t="s">
        <v>47</v>
      </c>
      <c r="O59" s="28" t="s">
        <v>48</v>
      </c>
      <c r="P59" s="29">
        <v>6.3</v>
      </c>
      <c r="Q59" s="86" t="s">
        <v>464</v>
      </c>
      <c r="R59" s="37">
        <v>34</v>
      </c>
      <c r="S59" s="39" t="s">
        <v>494</v>
      </c>
      <c r="T59" s="85" t="s">
        <v>429</v>
      </c>
      <c r="U59" s="37" t="s">
        <v>464</v>
      </c>
      <c r="V59" s="39" t="s">
        <v>442</v>
      </c>
      <c r="W59" s="85" t="s">
        <v>441</v>
      </c>
      <c r="X59" s="37" t="s">
        <v>498</v>
      </c>
      <c r="Y59" s="39" t="s">
        <v>370</v>
      </c>
      <c r="Z59" s="85" t="s">
        <v>351</v>
      </c>
      <c r="AA59" s="37" t="s">
        <v>406</v>
      </c>
      <c r="AB59" s="39" t="s">
        <v>433</v>
      </c>
      <c r="AC59" s="85" t="s">
        <v>334</v>
      </c>
      <c r="AD59" s="37" t="s">
        <v>432</v>
      </c>
      <c r="AE59" s="39" t="s">
        <v>305</v>
      </c>
      <c r="AF59" s="85" t="s">
        <v>193</v>
      </c>
      <c r="AG59" s="37" t="s">
        <v>494</v>
      </c>
      <c r="AH59" s="37" t="s">
        <v>360</v>
      </c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</row>
    <row r="60" spans="1:74" ht="15" customHeight="1">
      <c r="A60" s="8" t="s">
        <v>499</v>
      </c>
      <c r="B60" s="11" t="s">
        <v>278</v>
      </c>
      <c r="C60" s="40">
        <v>4.4000000000000004</v>
      </c>
      <c r="D60" s="37">
        <v>2.2999999999999998</v>
      </c>
      <c r="E60" s="37" t="s">
        <v>80</v>
      </c>
      <c r="F60" s="11" t="s">
        <v>500</v>
      </c>
      <c r="G60" s="31" t="s">
        <v>40</v>
      </c>
      <c r="H60" s="31" t="s">
        <v>448</v>
      </c>
      <c r="I60" s="31" t="s">
        <v>89</v>
      </c>
      <c r="J60" s="39" t="s">
        <v>380</v>
      </c>
      <c r="K60" s="30" t="s">
        <v>72</v>
      </c>
      <c r="L60" s="31" t="s">
        <v>45</v>
      </c>
      <c r="M60" s="32" t="s">
        <v>63</v>
      </c>
      <c r="N60" s="25" t="s">
        <v>47</v>
      </c>
      <c r="O60" s="28" t="s">
        <v>48</v>
      </c>
      <c r="P60" s="29">
        <v>3</v>
      </c>
      <c r="Q60" s="86" t="s">
        <v>485</v>
      </c>
      <c r="R60" s="37">
        <v>35</v>
      </c>
      <c r="S60" s="39" t="s">
        <v>429</v>
      </c>
      <c r="T60" s="85" t="s">
        <v>404</v>
      </c>
      <c r="U60" s="37" t="s">
        <v>485</v>
      </c>
      <c r="V60" s="39" t="s">
        <v>303</v>
      </c>
      <c r="W60" s="85" t="s">
        <v>341</v>
      </c>
      <c r="X60" s="37" t="s">
        <v>488</v>
      </c>
      <c r="Y60" s="39" t="s">
        <v>416</v>
      </c>
      <c r="Z60" s="85" t="s">
        <v>368</v>
      </c>
      <c r="AA60" s="37" t="s">
        <v>369</v>
      </c>
      <c r="AB60" s="39" t="s">
        <v>210</v>
      </c>
      <c r="AC60" s="85" t="s">
        <v>348</v>
      </c>
      <c r="AD60" s="37" t="s">
        <v>440</v>
      </c>
      <c r="AE60" s="39" t="s">
        <v>155</v>
      </c>
      <c r="AF60" s="85" t="s">
        <v>62</v>
      </c>
      <c r="AG60" s="37" t="s">
        <v>62</v>
      </c>
      <c r="AH60" s="37" t="s">
        <v>62</v>
      </c>
    </row>
    <row r="61" spans="1:74" ht="15" customHeight="1">
      <c r="A61" s="9" t="s">
        <v>501</v>
      </c>
      <c r="B61" s="11" t="s">
        <v>187</v>
      </c>
      <c r="C61" s="40">
        <v>4.5</v>
      </c>
      <c r="D61" s="37">
        <v>3.5</v>
      </c>
      <c r="E61" s="37" t="s">
        <v>57</v>
      </c>
      <c r="F61" s="11" t="s">
        <v>392</v>
      </c>
      <c r="G61" s="31" t="s">
        <v>40</v>
      </c>
      <c r="H61" s="31" t="s">
        <v>389</v>
      </c>
      <c r="I61" s="31" t="s">
        <v>124</v>
      </c>
      <c r="J61" s="39" t="s">
        <v>502</v>
      </c>
      <c r="K61" s="30" t="s">
        <v>61</v>
      </c>
      <c r="L61" s="31" t="s">
        <v>62</v>
      </c>
      <c r="M61" s="32" t="s">
        <v>46</v>
      </c>
      <c r="N61" s="25" t="s">
        <v>47</v>
      </c>
      <c r="O61" s="28" t="s">
        <v>48</v>
      </c>
      <c r="P61" s="29">
        <v>1</v>
      </c>
      <c r="Q61" s="86" t="s">
        <v>492</v>
      </c>
      <c r="R61" s="37">
        <v>33</v>
      </c>
      <c r="S61" s="39" t="s">
        <v>450</v>
      </c>
      <c r="T61" s="85" t="s">
        <v>440</v>
      </c>
      <c r="U61" s="37" t="s">
        <v>492</v>
      </c>
      <c r="V61" s="39" t="s">
        <v>366</v>
      </c>
      <c r="W61" s="85" t="s">
        <v>384</v>
      </c>
      <c r="X61" s="37" t="s">
        <v>493</v>
      </c>
      <c r="Y61" s="39" t="s">
        <v>434</v>
      </c>
      <c r="Z61" s="85" t="s">
        <v>62</v>
      </c>
      <c r="AA61" s="37" t="s">
        <v>62</v>
      </c>
      <c r="AB61" s="39" t="s">
        <v>62</v>
      </c>
      <c r="AC61" s="85" t="s">
        <v>62</v>
      </c>
      <c r="AD61" s="37" t="s">
        <v>62</v>
      </c>
      <c r="AE61" s="39" t="s">
        <v>62</v>
      </c>
      <c r="AF61" s="85" t="s">
        <v>62</v>
      </c>
      <c r="AG61" s="37" t="s">
        <v>62</v>
      </c>
      <c r="AH61" s="37" t="s">
        <v>62</v>
      </c>
    </row>
    <row r="62" spans="1:74" ht="15" customHeight="1">
      <c r="A62" s="9" t="s">
        <v>503</v>
      </c>
      <c r="B62" s="11" t="s">
        <v>278</v>
      </c>
      <c r="C62" s="40">
        <v>4.5</v>
      </c>
      <c r="D62" s="37" t="s">
        <v>504</v>
      </c>
      <c r="E62" s="37" t="s">
        <v>505</v>
      </c>
      <c r="F62" s="11" t="s">
        <v>506</v>
      </c>
      <c r="G62" s="31" t="s">
        <v>40</v>
      </c>
      <c r="H62" s="31" t="s">
        <v>507</v>
      </c>
      <c r="I62" s="31" t="s">
        <v>135</v>
      </c>
      <c r="J62" s="39" t="s">
        <v>508</v>
      </c>
      <c r="K62" s="30" t="s">
        <v>372</v>
      </c>
      <c r="L62" s="31" t="s">
        <v>92</v>
      </c>
      <c r="M62" s="32" t="s">
        <v>63</v>
      </c>
      <c r="N62" s="25" t="s">
        <v>47</v>
      </c>
      <c r="O62" s="28" t="s">
        <v>48</v>
      </c>
      <c r="P62" s="29">
        <v>3.4</v>
      </c>
      <c r="Q62" s="86" t="s">
        <v>480</v>
      </c>
      <c r="R62" s="37">
        <v>34</v>
      </c>
      <c r="S62" s="39" t="s">
        <v>406</v>
      </c>
      <c r="T62" s="85" t="s">
        <v>369</v>
      </c>
      <c r="U62" s="37" t="s">
        <v>480</v>
      </c>
      <c r="V62" s="39" t="s">
        <v>341</v>
      </c>
      <c r="W62" s="85" t="s">
        <v>306</v>
      </c>
      <c r="X62" s="37" t="s">
        <v>498</v>
      </c>
      <c r="Y62" s="39" t="s">
        <v>361</v>
      </c>
      <c r="Z62" s="85" t="s">
        <v>367</v>
      </c>
      <c r="AA62" s="37" t="s">
        <v>386</v>
      </c>
      <c r="AB62" s="39" t="s">
        <v>360</v>
      </c>
      <c r="AC62" s="85" t="s">
        <v>259</v>
      </c>
      <c r="AD62" s="37" t="s">
        <v>489</v>
      </c>
      <c r="AE62" s="39" t="s">
        <v>293</v>
      </c>
      <c r="AF62" s="85" t="s">
        <v>359</v>
      </c>
      <c r="AG62" s="37" t="s">
        <v>406</v>
      </c>
      <c r="AH62" s="37" t="s">
        <v>155</v>
      </c>
    </row>
    <row r="63" spans="1:74" ht="15" customHeight="1">
      <c r="A63" s="8" t="s">
        <v>509</v>
      </c>
      <c r="B63" s="11" t="s">
        <v>278</v>
      </c>
      <c r="C63" s="40">
        <v>4.8</v>
      </c>
      <c r="D63" s="37">
        <v>2</v>
      </c>
      <c r="E63" s="37" t="s">
        <v>86</v>
      </c>
      <c r="F63" s="47" t="s">
        <v>510</v>
      </c>
      <c r="G63" s="31" t="s">
        <v>40</v>
      </c>
      <c r="H63" s="31" t="s">
        <v>445</v>
      </c>
      <c r="I63" s="31" t="s">
        <v>459</v>
      </c>
      <c r="J63" s="39" t="s">
        <v>511</v>
      </c>
      <c r="K63" s="30" t="s">
        <v>61</v>
      </c>
      <c r="L63" s="31" t="s">
        <v>239</v>
      </c>
      <c r="M63" s="32" t="s">
        <v>63</v>
      </c>
      <c r="N63" s="25" t="s">
        <v>47</v>
      </c>
      <c r="O63" s="28" t="s">
        <v>48</v>
      </c>
      <c r="P63" s="29">
        <v>1.6</v>
      </c>
      <c r="Q63" s="86" t="s">
        <v>512</v>
      </c>
      <c r="R63" s="37">
        <v>32</v>
      </c>
      <c r="S63" s="39" t="s">
        <v>432</v>
      </c>
      <c r="T63" s="85" t="s">
        <v>406</v>
      </c>
      <c r="U63" s="37" t="s">
        <v>512</v>
      </c>
      <c r="V63" s="39" t="s">
        <v>434</v>
      </c>
      <c r="W63" s="85" t="s">
        <v>344</v>
      </c>
      <c r="X63" s="37" t="s">
        <v>513</v>
      </c>
      <c r="Y63" s="39" t="s">
        <v>303</v>
      </c>
      <c r="Z63" s="85" t="s">
        <v>62</v>
      </c>
      <c r="AA63" s="37" t="s">
        <v>62</v>
      </c>
      <c r="AB63" s="39" t="s">
        <v>62</v>
      </c>
      <c r="AC63" s="85" t="s">
        <v>62</v>
      </c>
      <c r="AD63" s="37" t="s">
        <v>62</v>
      </c>
      <c r="AE63" s="39" t="s">
        <v>62</v>
      </c>
      <c r="AF63" s="85" t="s">
        <v>62</v>
      </c>
      <c r="AG63" s="37" t="s">
        <v>62</v>
      </c>
      <c r="AH63" s="37" t="s">
        <v>62</v>
      </c>
    </row>
    <row r="64" spans="1:74" s="64" customFormat="1" ht="15" customHeight="1">
      <c r="A64" s="53" t="s">
        <v>514</v>
      </c>
      <c r="B64" s="54" t="s">
        <v>187</v>
      </c>
      <c r="C64" s="55">
        <v>5.2</v>
      </c>
      <c r="D64" s="56">
        <v>3.4</v>
      </c>
      <c r="E64" s="56" t="s">
        <v>409</v>
      </c>
      <c r="F64" s="69">
        <f>-1%</f>
        <v>-0.01</v>
      </c>
      <c r="G64" s="57" t="s">
        <v>40</v>
      </c>
      <c r="H64" s="57" t="s">
        <v>470</v>
      </c>
      <c r="I64" s="57" t="s">
        <v>135</v>
      </c>
      <c r="J64" s="58" t="s">
        <v>483</v>
      </c>
      <c r="K64" s="59" t="s">
        <v>515</v>
      </c>
      <c r="L64" s="57" t="s">
        <v>62</v>
      </c>
      <c r="M64" s="60" t="s">
        <v>63</v>
      </c>
      <c r="N64" s="61" t="s">
        <v>47</v>
      </c>
      <c r="O64" s="62" t="s">
        <v>48</v>
      </c>
      <c r="P64" s="63">
        <v>4</v>
      </c>
      <c r="Q64" s="165"/>
      <c r="R64" s="56"/>
      <c r="S64" s="58"/>
      <c r="T64" s="166"/>
      <c r="U64" s="56"/>
      <c r="V64" s="58"/>
      <c r="W64" s="166"/>
      <c r="X64" s="56"/>
      <c r="Y64" s="58"/>
      <c r="Z64" s="166"/>
      <c r="AA64" s="56"/>
      <c r="AB64" s="58"/>
      <c r="AC64" s="166"/>
      <c r="AD64" s="56"/>
      <c r="AE64" s="58"/>
      <c r="AF64" s="166"/>
      <c r="AG64" s="56"/>
      <c r="AH64" s="56"/>
    </row>
    <row r="65" spans="1:74" s="64" customFormat="1" ht="15" customHeight="1">
      <c r="A65" s="53" t="s">
        <v>516</v>
      </c>
      <c r="B65" s="54" t="s">
        <v>278</v>
      </c>
      <c r="C65" s="55">
        <v>5.5</v>
      </c>
      <c r="D65" s="56">
        <v>1.8</v>
      </c>
      <c r="E65" s="56" t="s">
        <v>38</v>
      </c>
      <c r="F65" s="171" t="s">
        <v>58</v>
      </c>
      <c r="G65" s="57" t="s">
        <v>40</v>
      </c>
      <c r="H65" s="57" t="s">
        <v>189</v>
      </c>
      <c r="I65" s="57" t="s">
        <v>190</v>
      </c>
      <c r="J65" s="58" t="s">
        <v>517</v>
      </c>
      <c r="K65" s="59" t="s">
        <v>61</v>
      </c>
      <c r="L65" s="57" t="s">
        <v>518</v>
      </c>
      <c r="M65" s="60" t="s">
        <v>63</v>
      </c>
      <c r="N65" s="61" t="s">
        <v>47</v>
      </c>
      <c r="O65" s="62" t="s">
        <v>48</v>
      </c>
      <c r="P65" s="63">
        <v>2</v>
      </c>
      <c r="Q65" s="165"/>
      <c r="R65" s="56"/>
      <c r="S65" s="58"/>
      <c r="T65" s="166"/>
      <c r="U65" s="56"/>
      <c r="V65" s="58"/>
      <c r="W65" s="166"/>
      <c r="X65" s="56"/>
      <c r="Y65" s="58"/>
      <c r="Z65" s="166"/>
      <c r="AA65" s="56"/>
      <c r="AB65" s="58"/>
      <c r="AC65" s="166"/>
      <c r="AD65" s="56"/>
      <c r="AE65" s="58"/>
      <c r="AF65" s="166"/>
      <c r="AG65" s="56"/>
      <c r="AH65" s="56"/>
    </row>
    <row r="66" spans="1:74" ht="15" customHeight="1">
      <c r="A66" s="8" t="s">
        <v>519</v>
      </c>
      <c r="B66" s="11" t="s">
        <v>496</v>
      </c>
      <c r="C66" s="40">
        <v>5.7</v>
      </c>
      <c r="D66" s="42">
        <v>3</v>
      </c>
      <c r="E66" s="42" t="s">
        <v>436</v>
      </c>
      <c r="F66" s="47" t="s">
        <v>354</v>
      </c>
      <c r="G66" s="31" t="s">
        <v>40</v>
      </c>
      <c r="H66" s="43" t="s">
        <v>189</v>
      </c>
      <c r="I66" s="43" t="s">
        <v>42</v>
      </c>
      <c r="J66" s="44" t="s">
        <v>520</v>
      </c>
      <c r="K66" s="45" t="s">
        <v>521</v>
      </c>
      <c r="L66" s="31" t="s">
        <v>62</v>
      </c>
      <c r="M66" s="32" t="s">
        <v>46</v>
      </c>
      <c r="N66" s="25" t="s">
        <v>47</v>
      </c>
      <c r="O66" s="28" t="s">
        <v>396</v>
      </c>
      <c r="P66" s="29">
        <v>1.2</v>
      </c>
      <c r="Q66" s="86" t="s">
        <v>522</v>
      </c>
      <c r="R66" s="37">
        <v>27</v>
      </c>
      <c r="S66" s="39" t="s">
        <v>492</v>
      </c>
      <c r="T66" s="85" t="s">
        <v>485</v>
      </c>
      <c r="U66" s="37" t="s">
        <v>523</v>
      </c>
      <c r="V66" s="39" t="s">
        <v>440</v>
      </c>
      <c r="W66" s="85" t="s">
        <v>489</v>
      </c>
      <c r="X66" s="37" t="s">
        <v>524</v>
      </c>
      <c r="Y66" s="39" t="s">
        <v>404</v>
      </c>
      <c r="Z66" s="85" t="s">
        <v>62</v>
      </c>
      <c r="AA66" s="37" t="s">
        <v>62</v>
      </c>
      <c r="AB66" s="39" t="s">
        <v>62</v>
      </c>
      <c r="AC66" s="85" t="s">
        <v>62</v>
      </c>
      <c r="AD66" s="37" t="s">
        <v>62</v>
      </c>
      <c r="AE66" s="39" t="s">
        <v>62</v>
      </c>
      <c r="AF66" s="85" t="s">
        <v>62</v>
      </c>
      <c r="AG66" s="37" t="s">
        <v>62</v>
      </c>
      <c r="AH66" s="37" t="s">
        <v>62</v>
      </c>
    </row>
    <row r="67" spans="1:74" s="222" customFormat="1" ht="15" customHeight="1">
      <c r="A67" s="205" t="s">
        <v>735</v>
      </c>
      <c r="B67" s="206" t="s">
        <v>278</v>
      </c>
      <c r="C67" s="207">
        <v>5.8</v>
      </c>
      <c r="D67" s="208">
        <v>1.6</v>
      </c>
      <c r="E67" s="208" t="s">
        <v>38</v>
      </c>
      <c r="F67" s="209" t="s">
        <v>737</v>
      </c>
      <c r="G67" s="210" t="s">
        <v>40</v>
      </c>
      <c r="H67" s="211" t="s">
        <v>389</v>
      </c>
      <c r="I67" s="211" t="s">
        <v>202</v>
      </c>
      <c r="J67" s="212" t="s">
        <v>502</v>
      </c>
      <c r="K67" s="213" t="s">
        <v>223</v>
      </c>
      <c r="L67" s="210" t="s">
        <v>736</v>
      </c>
      <c r="M67" s="214" t="s">
        <v>63</v>
      </c>
      <c r="N67" s="215" t="s">
        <v>47</v>
      </c>
      <c r="O67" s="216" t="s">
        <v>48</v>
      </c>
      <c r="P67" s="217">
        <v>1.6</v>
      </c>
      <c r="Q67" s="218"/>
      <c r="R67" s="219"/>
      <c r="S67" s="220"/>
      <c r="T67" s="221"/>
      <c r="U67" s="219"/>
      <c r="V67" s="220"/>
      <c r="W67" s="221"/>
      <c r="X67" s="219"/>
      <c r="Y67" s="220"/>
      <c r="Z67" s="221"/>
      <c r="AA67" s="219"/>
      <c r="AB67" s="220"/>
      <c r="AC67" s="221"/>
      <c r="AD67" s="219"/>
      <c r="AE67" s="220"/>
      <c r="AF67" s="221"/>
      <c r="AG67" s="219"/>
      <c r="AH67" s="219"/>
    </row>
    <row r="68" spans="1:74" ht="15" customHeight="1">
      <c r="A68" s="8" t="s">
        <v>525</v>
      </c>
      <c r="B68" s="13" t="s">
        <v>278</v>
      </c>
      <c r="C68" s="40">
        <v>5.8</v>
      </c>
      <c r="D68" s="42">
        <v>1.9</v>
      </c>
      <c r="E68" s="42" t="s">
        <v>80</v>
      </c>
      <c r="F68" s="47" t="s">
        <v>81</v>
      </c>
      <c r="G68" s="31" t="s">
        <v>40</v>
      </c>
      <c r="H68" s="43" t="s">
        <v>470</v>
      </c>
      <c r="I68" s="43" t="s">
        <v>89</v>
      </c>
      <c r="J68" s="44" t="s">
        <v>526</v>
      </c>
      <c r="K68" s="45" t="s">
        <v>72</v>
      </c>
      <c r="L68" s="31" t="s">
        <v>45</v>
      </c>
      <c r="M68" s="32" t="s">
        <v>63</v>
      </c>
      <c r="N68" s="25" t="s">
        <v>47</v>
      </c>
      <c r="O68" s="28" t="s">
        <v>48</v>
      </c>
      <c r="P68" s="29">
        <v>3.2</v>
      </c>
      <c r="Q68" s="86" t="s">
        <v>522</v>
      </c>
      <c r="R68" s="37">
        <v>27</v>
      </c>
      <c r="S68" s="39" t="s">
        <v>464</v>
      </c>
      <c r="T68" s="85" t="s">
        <v>473</v>
      </c>
      <c r="U68" s="37" t="s">
        <v>522</v>
      </c>
      <c r="V68" s="39" t="s">
        <v>415</v>
      </c>
      <c r="W68" s="85" t="s">
        <v>429</v>
      </c>
      <c r="X68" s="37" t="s">
        <v>524</v>
      </c>
      <c r="Y68" s="39" t="s">
        <v>366</v>
      </c>
      <c r="Z68" s="85" t="s">
        <v>385</v>
      </c>
      <c r="AA68" s="37" t="s">
        <v>473</v>
      </c>
      <c r="AB68" s="39" t="s">
        <v>295</v>
      </c>
      <c r="AC68" s="85" t="s">
        <v>367</v>
      </c>
      <c r="AD68" s="37" t="s">
        <v>512</v>
      </c>
      <c r="AE68" s="39" t="s">
        <v>329</v>
      </c>
      <c r="AF68" s="85" t="s">
        <v>361</v>
      </c>
      <c r="AG68" s="37" t="s">
        <v>480</v>
      </c>
      <c r="AH68" s="37" t="s">
        <v>275</v>
      </c>
    </row>
    <row r="69" spans="1:74" ht="15" customHeight="1">
      <c r="A69" s="8" t="s">
        <v>527</v>
      </c>
      <c r="B69" s="11" t="s">
        <v>187</v>
      </c>
      <c r="C69" s="40">
        <v>5.9</v>
      </c>
      <c r="D69" s="42" t="s">
        <v>528</v>
      </c>
      <c r="E69" s="42" t="s">
        <v>529</v>
      </c>
      <c r="F69" s="47" t="s">
        <v>363</v>
      </c>
      <c r="G69" s="31" t="s">
        <v>40</v>
      </c>
      <c r="H69" s="43" t="s">
        <v>470</v>
      </c>
      <c r="I69" s="43" t="s">
        <v>393</v>
      </c>
      <c r="J69" s="44" t="s">
        <v>530</v>
      </c>
      <c r="K69" s="45" t="s">
        <v>478</v>
      </c>
      <c r="L69" s="31" t="s">
        <v>45</v>
      </c>
      <c r="M69" s="32" t="s">
        <v>46</v>
      </c>
      <c r="N69" s="25" t="s">
        <v>47</v>
      </c>
      <c r="O69" s="28" t="s">
        <v>48</v>
      </c>
      <c r="P69" s="29">
        <v>3.1</v>
      </c>
      <c r="Q69" s="86" t="s">
        <v>531</v>
      </c>
      <c r="R69" s="37">
        <v>26</v>
      </c>
      <c r="S69" s="39" t="s">
        <v>488</v>
      </c>
      <c r="T69" s="85" t="s">
        <v>464</v>
      </c>
      <c r="U69" s="37" t="s">
        <v>531</v>
      </c>
      <c r="V69" s="39" t="s">
        <v>489</v>
      </c>
      <c r="W69" s="85" t="s">
        <v>450</v>
      </c>
      <c r="X69" s="37" t="s">
        <v>532</v>
      </c>
      <c r="Y69" s="39" t="s">
        <v>386</v>
      </c>
      <c r="Z69" s="85" t="s">
        <v>440</v>
      </c>
      <c r="AA69" s="37" t="s">
        <v>492</v>
      </c>
      <c r="AB69" s="39" t="s">
        <v>344</v>
      </c>
      <c r="AC69" s="85" t="s">
        <v>366</v>
      </c>
      <c r="AD69" s="37" t="s">
        <v>498</v>
      </c>
      <c r="AE69" s="39" t="s">
        <v>405</v>
      </c>
      <c r="AF69" s="85" t="s">
        <v>430</v>
      </c>
      <c r="AG69" s="37" t="s">
        <v>512</v>
      </c>
      <c r="AH69" s="37" t="s">
        <v>336</v>
      </c>
    </row>
    <row r="70" spans="1:74" ht="15" customHeight="1">
      <c r="A70" s="9" t="s">
        <v>533</v>
      </c>
      <c r="B70" s="11" t="s">
        <v>496</v>
      </c>
      <c r="C70" s="40">
        <v>6</v>
      </c>
      <c r="D70" s="37">
        <v>1.9</v>
      </c>
      <c r="E70" s="37" t="s">
        <v>86</v>
      </c>
      <c r="F70" s="11" t="s">
        <v>534</v>
      </c>
      <c r="G70" s="31" t="s">
        <v>40</v>
      </c>
      <c r="H70" s="31" t="s">
        <v>346</v>
      </c>
      <c r="I70" s="31" t="s">
        <v>535</v>
      </c>
      <c r="J70" s="39" t="s">
        <v>536</v>
      </c>
      <c r="K70" s="30" t="s">
        <v>61</v>
      </c>
      <c r="L70" s="31" t="s">
        <v>92</v>
      </c>
      <c r="M70" s="32" t="s">
        <v>63</v>
      </c>
      <c r="N70" s="25" t="s">
        <v>47</v>
      </c>
      <c r="O70" s="28" t="s">
        <v>48</v>
      </c>
      <c r="P70" s="29">
        <v>1.9</v>
      </c>
      <c r="Q70" s="86" t="s">
        <v>531</v>
      </c>
      <c r="R70" s="37">
        <v>26</v>
      </c>
      <c r="S70" s="39" t="s">
        <v>512</v>
      </c>
      <c r="T70" s="85" t="s">
        <v>480</v>
      </c>
      <c r="U70" s="37" t="s">
        <v>531</v>
      </c>
      <c r="V70" s="39" t="s">
        <v>440</v>
      </c>
      <c r="W70" s="85" t="s">
        <v>432</v>
      </c>
      <c r="X70" s="37" t="s">
        <v>532</v>
      </c>
      <c r="Y70" s="39" t="s">
        <v>369</v>
      </c>
      <c r="Z70" s="85" t="s">
        <v>62</v>
      </c>
      <c r="AA70" s="37" t="s">
        <v>62</v>
      </c>
      <c r="AB70" s="39" t="s">
        <v>62</v>
      </c>
      <c r="AC70" s="85" t="s">
        <v>62</v>
      </c>
      <c r="AD70" s="37" t="s">
        <v>62</v>
      </c>
      <c r="AE70" s="39" t="s">
        <v>62</v>
      </c>
      <c r="AF70" s="85" t="s">
        <v>62</v>
      </c>
      <c r="AG70" s="37" t="s">
        <v>62</v>
      </c>
      <c r="AH70" s="37" t="s">
        <v>62</v>
      </c>
    </row>
    <row r="71" spans="1:74" ht="15" customHeight="1">
      <c r="A71" s="53" t="s">
        <v>537</v>
      </c>
      <c r="B71" s="54" t="s">
        <v>187</v>
      </c>
      <c r="C71" s="55">
        <v>6.2</v>
      </c>
      <c r="D71" s="56" t="s">
        <v>538</v>
      </c>
      <c r="E71" s="56" t="s">
        <v>325</v>
      </c>
      <c r="F71" s="92">
        <v>0</v>
      </c>
      <c r="G71" s="57" t="s">
        <v>40</v>
      </c>
      <c r="H71" s="57" t="s">
        <v>476</v>
      </c>
      <c r="I71" s="57" t="s">
        <v>153</v>
      </c>
      <c r="J71" s="58" t="s">
        <v>539</v>
      </c>
      <c r="K71" s="59" t="s">
        <v>540</v>
      </c>
      <c r="L71" s="57" t="s">
        <v>62</v>
      </c>
      <c r="M71" s="60" t="s">
        <v>46</v>
      </c>
      <c r="N71" s="61" t="s">
        <v>47</v>
      </c>
      <c r="O71" s="62" t="s">
        <v>48</v>
      </c>
      <c r="P71" s="63">
        <v>1</v>
      </c>
      <c r="Q71" s="86"/>
      <c r="R71" s="37"/>
      <c r="S71" s="39"/>
      <c r="T71" s="85"/>
      <c r="U71" s="37"/>
      <c r="V71" s="39"/>
      <c r="W71" s="85"/>
      <c r="X71" s="37"/>
      <c r="Y71" s="39"/>
      <c r="Z71" s="85"/>
      <c r="AA71" s="37"/>
      <c r="AB71" s="39"/>
      <c r="AC71" s="85"/>
      <c r="AD71" s="37"/>
      <c r="AE71" s="39"/>
      <c r="AF71" s="85"/>
      <c r="AG71" s="37"/>
      <c r="AH71" s="39"/>
    </row>
    <row r="72" spans="1:74" ht="15" customHeight="1">
      <c r="A72" s="9" t="s">
        <v>541</v>
      </c>
      <c r="B72" s="11" t="s">
        <v>187</v>
      </c>
      <c r="C72" s="40">
        <v>6.8</v>
      </c>
      <c r="D72" s="37">
        <v>2.5</v>
      </c>
      <c r="E72" s="37" t="s">
        <v>254</v>
      </c>
      <c r="F72" s="11" t="s">
        <v>363</v>
      </c>
      <c r="G72" s="31" t="s">
        <v>40</v>
      </c>
      <c r="H72" s="31" t="s">
        <v>448</v>
      </c>
      <c r="I72" s="31" t="s">
        <v>542</v>
      </c>
      <c r="J72" s="39" t="s">
        <v>543</v>
      </c>
      <c r="K72" s="30" t="s">
        <v>484</v>
      </c>
      <c r="L72" s="31" t="s">
        <v>62</v>
      </c>
      <c r="M72" s="32" t="s">
        <v>63</v>
      </c>
      <c r="N72" s="25" t="s">
        <v>47</v>
      </c>
      <c r="O72" s="28" t="s">
        <v>48</v>
      </c>
      <c r="P72" s="29">
        <v>3.8</v>
      </c>
      <c r="Q72" s="86" t="s">
        <v>544</v>
      </c>
      <c r="R72" s="37">
        <v>22</v>
      </c>
      <c r="S72" s="39" t="s">
        <v>545</v>
      </c>
      <c r="T72" s="85" t="s">
        <v>513</v>
      </c>
      <c r="U72" s="37" t="s">
        <v>544</v>
      </c>
      <c r="V72" s="39" t="s">
        <v>546</v>
      </c>
      <c r="W72" s="85" t="s">
        <v>485</v>
      </c>
      <c r="X72" s="37" t="s">
        <v>547</v>
      </c>
      <c r="Y72" s="39" t="s">
        <v>450</v>
      </c>
      <c r="Z72" s="85" t="s">
        <v>479</v>
      </c>
      <c r="AA72" s="37" t="s">
        <v>513</v>
      </c>
      <c r="AB72" s="39" t="s">
        <v>369</v>
      </c>
      <c r="AC72" s="85" t="s">
        <v>415</v>
      </c>
      <c r="AD72" s="37" t="s">
        <v>522</v>
      </c>
      <c r="AE72" s="39" t="s">
        <v>366</v>
      </c>
      <c r="AF72" s="85" t="s">
        <v>62</v>
      </c>
      <c r="AG72" s="37" t="s">
        <v>62</v>
      </c>
      <c r="AH72" s="37" t="s">
        <v>62</v>
      </c>
    </row>
    <row r="73" spans="1:74" ht="15" customHeight="1">
      <c r="A73" s="75" t="s">
        <v>548</v>
      </c>
      <c r="B73" s="11" t="s">
        <v>278</v>
      </c>
      <c r="C73" s="40">
        <v>6.8</v>
      </c>
      <c r="D73" s="37">
        <v>1.8</v>
      </c>
      <c r="E73" s="37" t="s">
        <v>67</v>
      </c>
      <c r="F73" s="47" t="s">
        <v>549</v>
      </c>
      <c r="G73" s="31" t="s">
        <v>40</v>
      </c>
      <c r="H73" s="31" t="s">
        <v>402</v>
      </c>
      <c r="I73" s="31" t="s">
        <v>89</v>
      </c>
      <c r="J73" s="39" t="s">
        <v>550</v>
      </c>
      <c r="K73" s="30" t="s">
        <v>72</v>
      </c>
      <c r="L73" s="31" t="s">
        <v>92</v>
      </c>
      <c r="M73" s="32" t="s">
        <v>63</v>
      </c>
      <c r="N73" s="25" t="s">
        <v>47</v>
      </c>
      <c r="O73" s="28" t="s">
        <v>48</v>
      </c>
      <c r="P73" s="29">
        <v>7.8</v>
      </c>
      <c r="Q73" s="86" t="s">
        <v>544</v>
      </c>
      <c r="R73" s="37">
        <v>23</v>
      </c>
      <c r="S73" s="39" t="s">
        <v>551</v>
      </c>
      <c r="T73" s="85" t="s">
        <v>498</v>
      </c>
      <c r="U73" s="37" t="s">
        <v>552</v>
      </c>
      <c r="V73" s="39" t="s">
        <v>479</v>
      </c>
      <c r="W73" s="85" t="s">
        <v>546</v>
      </c>
      <c r="X73" s="37" t="s">
        <v>547</v>
      </c>
      <c r="Y73" s="39" t="s">
        <v>440</v>
      </c>
      <c r="Z73" s="85" t="s">
        <v>432</v>
      </c>
      <c r="AA73" s="37" t="s">
        <v>493</v>
      </c>
      <c r="AB73" s="39" t="s">
        <v>366</v>
      </c>
      <c r="AC73" s="85" t="s">
        <v>384</v>
      </c>
      <c r="AD73" s="37" t="s">
        <v>545</v>
      </c>
      <c r="AE73" s="39" t="s">
        <v>405</v>
      </c>
      <c r="AF73" s="85" t="s">
        <v>441</v>
      </c>
      <c r="AG73" s="37" t="s">
        <v>513</v>
      </c>
      <c r="AH73" s="37" t="s">
        <v>303</v>
      </c>
    </row>
    <row r="74" spans="1:74" ht="15" customHeight="1">
      <c r="A74" s="76" t="s">
        <v>553</v>
      </c>
      <c r="B74" s="11" t="s">
        <v>496</v>
      </c>
      <c r="C74" s="40">
        <v>7.2</v>
      </c>
      <c r="D74" s="37">
        <v>2.5</v>
      </c>
      <c r="E74" s="37" t="s">
        <v>38</v>
      </c>
      <c r="F74" s="11" t="s">
        <v>392</v>
      </c>
      <c r="G74" s="31" t="s">
        <v>40</v>
      </c>
      <c r="H74" s="31" t="s">
        <v>554</v>
      </c>
      <c r="I74" s="31"/>
      <c r="J74" s="39" t="s">
        <v>555</v>
      </c>
      <c r="K74" s="30" t="s">
        <v>61</v>
      </c>
      <c r="L74" s="31" t="s">
        <v>62</v>
      </c>
      <c r="M74" s="32" t="s">
        <v>46</v>
      </c>
      <c r="N74" s="25" t="s">
        <v>47</v>
      </c>
      <c r="O74" s="28" t="s">
        <v>48</v>
      </c>
      <c r="P74" s="29">
        <v>1.3</v>
      </c>
      <c r="Q74" s="86" t="s">
        <v>556</v>
      </c>
      <c r="R74" s="37">
        <v>21</v>
      </c>
      <c r="S74" s="39" t="s">
        <v>523</v>
      </c>
      <c r="T74" s="85" t="s">
        <v>545</v>
      </c>
      <c r="U74" s="37" t="s">
        <v>556</v>
      </c>
      <c r="V74" s="39" t="s">
        <v>480</v>
      </c>
      <c r="W74" s="85" t="s">
        <v>464</v>
      </c>
      <c r="X74" s="37" t="s">
        <v>557</v>
      </c>
      <c r="Y74" s="39" t="s">
        <v>479</v>
      </c>
      <c r="Z74" s="85" t="s">
        <v>485</v>
      </c>
      <c r="AA74" s="37" t="s">
        <v>522</v>
      </c>
      <c r="AB74" s="39" t="s">
        <v>440</v>
      </c>
      <c r="AC74" s="85" t="s">
        <v>62</v>
      </c>
      <c r="AD74" s="37" t="s">
        <v>62</v>
      </c>
      <c r="AE74" s="39" t="s">
        <v>62</v>
      </c>
      <c r="AF74" s="90" t="s">
        <v>62</v>
      </c>
      <c r="AG74" s="91" t="s">
        <v>62</v>
      </c>
      <c r="AH74" s="91" t="s">
        <v>62</v>
      </c>
    </row>
    <row r="75" spans="1:74" s="64" customFormat="1" ht="15" customHeight="1">
      <c r="A75" s="8" t="s">
        <v>558</v>
      </c>
      <c r="B75" s="11" t="s">
        <v>496</v>
      </c>
      <c r="C75" s="40">
        <v>7.8</v>
      </c>
      <c r="D75" s="37">
        <v>2</v>
      </c>
      <c r="E75" s="37" t="s">
        <v>80</v>
      </c>
      <c r="F75" s="11" t="s">
        <v>392</v>
      </c>
      <c r="G75" s="31" t="s">
        <v>40</v>
      </c>
      <c r="H75" s="31" t="s">
        <v>470</v>
      </c>
      <c r="I75" s="31" t="s">
        <v>559</v>
      </c>
      <c r="J75" s="39" t="s">
        <v>560</v>
      </c>
      <c r="K75" s="30" t="s">
        <v>257</v>
      </c>
      <c r="L75" s="31" t="s">
        <v>62</v>
      </c>
      <c r="M75" s="32" t="s">
        <v>63</v>
      </c>
      <c r="N75" s="25" t="s">
        <v>47</v>
      </c>
      <c r="O75" s="28" t="s">
        <v>48</v>
      </c>
      <c r="P75" s="29">
        <v>4.7</v>
      </c>
      <c r="Q75" s="86" t="s">
        <v>557</v>
      </c>
      <c r="R75" s="37">
        <v>20</v>
      </c>
      <c r="S75" s="39" t="s">
        <v>524</v>
      </c>
      <c r="T75" s="116" t="s">
        <v>531</v>
      </c>
      <c r="U75" s="37" t="s">
        <v>557</v>
      </c>
      <c r="V75" s="39" t="s">
        <v>488</v>
      </c>
      <c r="W75" s="85" t="s">
        <v>498</v>
      </c>
      <c r="X75" s="37" t="s">
        <v>291</v>
      </c>
      <c r="Y75" s="39" t="s">
        <v>480</v>
      </c>
      <c r="Z75" s="85" t="s">
        <v>492</v>
      </c>
      <c r="AA75" s="37" t="s">
        <v>531</v>
      </c>
      <c r="AB75" s="39" t="s">
        <v>432</v>
      </c>
      <c r="AC75" s="85" t="s">
        <v>450</v>
      </c>
      <c r="AD75" s="37" t="s">
        <v>532</v>
      </c>
      <c r="AE75" s="39" t="s">
        <v>386</v>
      </c>
      <c r="AF75" s="90" t="s">
        <v>62</v>
      </c>
      <c r="AG75" s="91" t="s">
        <v>62</v>
      </c>
      <c r="AH75" s="91" t="s">
        <v>62</v>
      </c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</row>
    <row r="76" spans="1:74" ht="15" customHeight="1">
      <c r="A76" s="8" t="s">
        <v>561</v>
      </c>
      <c r="B76" s="11" t="s">
        <v>278</v>
      </c>
      <c r="C76" s="40">
        <v>7.8</v>
      </c>
      <c r="D76" s="37" t="s">
        <v>562</v>
      </c>
      <c r="E76" s="37" t="s">
        <v>38</v>
      </c>
      <c r="F76" s="186">
        <v>-0.08</v>
      </c>
      <c r="G76" s="31" t="s">
        <v>200</v>
      </c>
      <c r="H76" s="31" t="s">
        <v>346</v>
      </c>
      <c r="I76" s="31" t="s">
        <v>563</v>
      </c>
      <c r="J76" s="39" t="s">
        <v>539</v>
      </c>
      <c r="K76" s="30" t="s">
        <v>61</v>
      </c>
      <c r="L76" s="31" t="s">
        <v>62</v>
      </c>
      <c r="M76" s="32" t="s">
        <v>63</v>
      </c>
      <c r="N76" s="25" t="s">
        <v>47</v>
      </c>
      <c r="O76" s="28" t="s">
        <v>48</v>
      </c>
      <c r="P76" s="29">
        <v>1.2</v>
      </c>
      <c r="Q76" s="86" t="s">
        <v>557</v>
      </c>
      <c r="R76" s="37">
        <v>20</v>
      </c>
      <c r="S76" s="39" t="s">
        <v>564</v>
      </c>
      <c r="T76" s="31" t="s">
        <v>523</v>
      </c>
      <c r="U76" s="37" t="s">
        <v>557</v>
      </c>
      <c r="V76" s="39" t="s">
        <v>492</v>
      </c>
      <c r="W76" s="85" t="s">
        <v>488</v>
      </c>
      <c r="X76" s="37" t="s">
        <v>291</v>
      </c>
      <c r="Y76" s="39" t="s">
        <v>546</v>
      </c>
      <c r="Z76" s="85"/>
      <c r="AA76" s="37"/>
      <c r="AB76" s="39"/>
      <c r="AC76" s="85" t="s">
        <v>62</v>
      </c>
      <c r="AD76" s="37" t="s">
        <v>62</v>
      </c>
      <c r="AE76" s="39" t="s">
        <v>62</v>
      </c>
      <c r="AF76" s="90" t="s">
        <v>62</v>
      </c>
      <c r="AG76" s="91" t="s">
        <v>62</v>
      </c>
      <c r="AH76" s="91" t="s">
        <v>62</v>
      </c>
    </row>
    <row r="77" spans="1:74" ht="15" customHeight="1">
      <c r="A77" s="8" t="s">
        <v>565</v>
      </c>
      <c r="B77" s="11" t="s">
        <v>496</v>
      </c>
      <c r="C77" s="40">
        <v>7.9</v>
      </c>
      <c r="D77" s="37">
        <v>2</v>
      </c>
      <c r="E77" s="37" t="s">
        <v>38</v>
      </c>
      <c r="F77" s="11" t="s">
        <v>566</v>
      </c>
      <c r="G77" s="31" t="s">
        <v>40</v>
      </c>
      <c r="H77" s="31" t="s">
        <v>445</v>
      </c>
      <c r="I77" s="31"/>
      <c r="J77" s="39" t="s">
        <v>301</v>
      </c>
      <c r="K77" s="30" t="s">
        <v>61</v>
      </c>
      <c r="L77" s="31" t="s">
        <v>45</v>
      </c>
      <c r="M77" s="32" t="s">
        <v>63</v>
      </c>
      <c r="N77" s="25" t="s">
        <v>47</v>
      </c>
      <c r="O77" s="28" t="s">
        <v>48</v>
      </c>
      <c r="P77" s="29">
        <v>1.6</v>
      </c>
      <c r="Q77" s="86" t="s">
        <v>557</v>
      </c>
      <c r="R77" s="37">
        <v>20</v>
      </c>
      <c r="S77" s="39" t="s">
        <v>564</v>
      </c>
      <c r="T77" s="85" t="s">
        <v>523</v>
      </c>
      <c r="U77" s="85" t="s">
        <v>557</v>
      </c>
      <c r="V77" s="39" t="s">
        <v>492</v>
      </c>
      <c r="W77" s="85" t="s">
        <v>488</v>
      </c>
      <c r="X77" s="37" t="s">
        <v>291</v>
      </c>
      <c r="Y77" s="39" t="s">
        <v>473</v>
      </c>
      <c r="Z77" s="85"/>
      <c r="AA77" s="37"/>
      <c r="AB77" s="39"/>
      <c r="AC77" s="85" t="s">
        <v>62</v>
      </c>
      <c r="AD77" s="37" t="s">
        <v>62</v>
      </c>
      <c r="AE77" s="39" t="s">
        <v>62</v>
      </c>
      <c r="AF77" s="90" t="s">
        <v>62</v>
      </c>
      <c r="AG77" s="91" t="s">
        <v>62</v>
      </c>
      <c r="AH77" s="91" t="s">
        <v>62</v>
      </c>
    </row>
    <row r="78" spans="1:74" s="64" customFormat="1" ht="15" customHeight="1">
      <c r="A78" s="53" t="s">
        <v>567</v>
      </c>
      <c r="B78" s="54" t="s">
        <v>187</v>
      </c>
      <c r="C78" s="55">
        <v>8</v>
      </c>
      <c r="D78" s="56">
        <v>2.8</v>
      </c>
      <c r="E78" s="56" t="s">
        <v>325</v>
      </c>
      <c r="F78" s="92">
        <v>0</v>
      </c>
      <c r="G78" s="57" t="s">
        <v>40</v>
      </c>
      <c r="H78" s="57" t="s">
        <v>476</v>
      </c>
      <c r="I78" s="57" t="s">
        <v>222</v>
      </c>
      <c r="J78" s="58" t="s">
        <v>568</v>
      </c>
      <c r="K78" s="59" t="s">
        <v>238</v>
      </c>
      <c r="L78" s="57" t="s">
        <v>62</v>
      </c>
      <c r="M78" s="60" t="s">
        <v>46</v>
      </c>
      <c r="N78" s="61" t="s">
        <v>47</v>
      </c>
      <c r="O78" s="62" t="s">
        <v>48</v>
      </c>
      <c r="P78" s="63">
        <v>1</v>
      </c>
      <c r="Q78" s="86"/>
      <c r="R78" s="37"/>
      <c r="S78" s="39"/>
      <c r="T78" s="85"/>
      <c r="U78" s="37"/>
      <c r="V78" s="39"/>
      <c r="W78" s="85"/>
      <c r="X78" s="37"/>
      <c r="Y78" s="39"/>
      <c r="Z78" s="85"/>
      <c r="AA78" s="37"/>
      <c r="AB78" s="39"/>
      <c r="AC78" s="85"/>
      <c r="AD78" s="37"/>
      <c r="AE78" s="39"/>
      <c r="AF78" s="90"/>
      <c r="AG78" s="91"/>
      <c r="AH78" s="91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</row>
    <row r="79" spans="1:74" ht="15" customHeight="1">
      <c r="A79" s="8" t="s">
        <v>569</v>
      </c>
      <c r="B79" s="11" t="s">
        <v>496</v>
      </c>
      <c r="C79" s="40">
        <v>8.1999999999999993</v>
      </c>
      <c r="D79" s="37" t="s">
        <v>570</v>
      </c>
      <c r="E79" s="37" t="s">
        <v>80</v>
      </c>
      <c r="F79" s="11" t="s">
        <v>392</v>
      </c>
      <c r="G79" s="31" t="s">
        <v>40</v>
      </c>
      <c r="H79" s="31" t="s">
        <v>448</v>
      </c>
      <c r="I79" s="31" t="s">
        <v>571</v>
      </c>
      <c r="J79" s="39" t="s">
        <v>103</v>
      </c>
      <c r="K79" s="30" t="s">
        <v>72</v>
      </c>
      <c r="L79" s="31" t="s">
        <v>62</v>
      </c>
      <c r="M79" s="32" t="s">
        <v>63</v>
      </c>
      <c r="N79" s="25" t="s">
        <v>47</v>
      </c>
      <c r="O79" s="28" t="s">
        <v>48</v>
      </c>
      <c r="P79" s="29">
        <v>3.5</v>
      </c>
      <c r="Q79" s="86" t="s">
        <v>300</v>
      </c>
      <c r="R79" s="37">
        <v>19</v>
      </c>
      <c r="S79" s="39" t="s">
        <v>532</v>
      </c>
      <c r="T79" s="85" t="s">
        <v>564</v>
      </c>
      <c r="U79" s="37" t="s">
        <v>300</v>
      </c>
      <c r="V79" s="39" t="s">
        <v>493</v>
      </c>
      <c r="W79" s="85" t="s">
        <v>513</v>
      </c>
      <c r="X79" s="37" t="s">
        <v>572</v>
      </c>
      <c r="Y79" s="39" t="s">
        <v>492</v>
      </c>
      <c r="Z79" s="85" t="s">
        <v>488</v>
      </c>
      <c r="AA79" s="37" t="s">
        <v>524</v>
      </c>
      <c r="AB79" s="39" t="s">
        <v>479</v>
      </c>
      <c r="AC79" s="85" t="s">
        <v>463</v>
      </c>
      <c r="AD79" s="37" t="s">
        <v>544</v>
      </c>
      <c r="AE79" s="39" t="s">
        <v>440</v>
      </c>
      <c r="AF79" s="90" t="s">
        <v>62</v>
      </c>
      <c r="AG79" s="91" t="s">
        <v>62</v>
      </c>
      <c r="AH79" s="91" t="s">
        <v>62</v>
      </c>
    </row>
    <row r="80" spans="1:74" ht="15" customHeight="1">
      <c r="A80" s="8" t="s">
        <v>744</v>
      </c>
      <c r="B80" s="11" t="s">
        <v>496</v>
      </c>
      <c r="C80" s="40">
        <v>9.1999999999999993</v>
      </c>
      <c r="D80" s="37">
        <v>2.6</v>
      </c>
      <c r="E80" s="37" t="s">
        <v>80</v>
      </c>
      <c r="F80" s="223">
        <v>-0.01</v>
      </c>
      <c r="G80" s="31" t="s">
        <v>200</v>
      </c>
      <c r="H80" s="31" t="s">
        <v>470</v>
      </c>
      <c r="I80" s="31"/>
      <c r="J80" s="39" t="s">
        <v>745</v>
      </c>
      <c r="K80" s="30" t="s">
        <v>302</v>
      </c>
      <c r="L80" s="31" t="s">
        <v>62</v>
      </c>
      <c r="M80" s="32" t="s">
        <v>63</v>
      </c>
      <c r="N80" s="25" t="s">
        <v>47</v>
      </c>
      <c r="O80" s="28" t="s">
        <v>48</v>
      </c>
      <c r="P80" s="29">
        <v>4</v>
      </c>
      <c r="Q80" s="86"/>
      <c r="R80" s="37"/>
      <c r="S80" s="39"/>
      <c r="T80" s="85"/>
      <c r="U80" s="37"/>
      <c r="V80" s="39"/>
      <c r="W80" s="85"/>
      <c r="X80" s="37"/>
      <c r="Y80" s="39"/>
      <c r="Z80" s="85"/>
      <c r="AA80" s="37"/>
      <c r="AB80" s="39"/>
      <c r="AC80" s="85"/>
      <c r="AD80" s="37"/>
      <c r="AE80" s="39"/>
      <c r="AF80" s="90"/>
      <c r="AG80" s="91"/>
      <c r="AH80" s="91"/>
    </row>
    <row r="81" spans="1:74" ht="15" customHeight="1">
      <c r="A81" s="8" t="s">
        <v>573</v>
      </c>
      <c r="B81" s="11" t="s">
        <v>496</v>
      </c>
      <c r="C81" s="40">
        <v>10.4</v>
      </c>
      <c r="D81" s="37">
        <v>3.8</v>
      </c>
      <c r="E81" s="37" t="s">
        <v>57</v>
      </c>
      <c r="F81" s="170">
        <v>-1.4E-2</v>
      </c>
      <c r="G81" s="31" t="s">
        <v>40</v>
      </c>
      <c r="H81" s="31" t="s">
        <v>389</v>
      </c>
      <c r="I81" s="31" t="s">
        <v>356</v>
      </c>
      <c r="J81" s="39" t="s">
        <v>574</v>
      </c>
      <c r="K81" s="30" t="s">
        <v>575</v>
      </c>
      <c r="L81" s="31" t="s">
        <v>62</v>
      </c>
      <c r="M81" s="32" t="s">
        <v>63</v>
      </c>
      <c r="N81" s="25" t="s">
        <v>47</v>
      </c>
      <c r="O81" s="28" t="s">
        <v>48</v>
      </c>
      <c r="P81" s="29">
        <v>3</v>
      </c>
      <c r="Q81" s="86"/>
      <c r="R81" s="37"/>
      <c r="S81" s="39"/>
      <c r="T81" s="85"/>
      <c r="U81" s="37"/>
      <c r="V81" s="39"/>
      <c r="W81" s="85"/>
      <c r="X81" s="37"/>
      <c r="Y81" s="39"/>
      <c r="Z81" s="85"/>
      <c r="AA81" s="37"/>
      <c r="AB81" s="39"/>
      <c r="AC81" s="85"/>
      <c r="AD81" s="37"/>
      <c r="AE81" s="39"/>
      <c r="AF81" s="90"/>
      <c r="AG81" s="91"/>
      <c r="AH81" s="91"/>
    </row>
    <row r="82" spans="1:74" ht="15" customHeight="1">
      <c r="A82" s="53" t="s">
        <v>576</v>
      </c>
      <c r="B82" s="54" t="s">
        <v>577</v>
      </c>
      <c r="C82" s="55">
        <v>12</v>
      </c>
      <c r="D82" s="56">
        <v>2</v>
      </c>
      <c r="E82" s="56" t="s">
        <v>254</v>
      </c>
      <c r="F82" s="54" t="s">
        <v>392</v>
      </c>
      <c r="G82" s="57" t="s">
        <v>200</v>
      </c>
      <c r="H82" s="57" t="s">
        <v>470</v>
      </c>
      <c r="I82" s="57" t="s">
        <v>578</v>
      </c>
      <c r="J82" s="58" t="s">
        <v>579</v>
      </c>
      <c r="K82" s="59" t="s">
        <v>574</v>
      </c>
      <c r="L82" s="57" t="s">
        <v>62</v>
      </c>
      <c r="M82" s="60" t="s">
        <v>63</v>
      </c>
      <c r="N82" s="61" t="s">
        <v>47</v>
      </c>
      <c r="O82" s="62" t="s">
        <v>48</v>
      </c>
      <c r="P82" s="63">
        <v>4.5</v>
      </c>
      <c r="Q82" s="86" t="s">
        <v>222</v>
      </c>
      <c r="R82" s="37">
        <v>13</v>
      </c>
      <c r="S82" s="39" t="s">
        <v>393</v>
      </c>
      <c r="T82" s="85" t="s">
        <v>438</v>
      </c>
      <c r="U82" s="37" t="s">
        <v>222</v>
      </c>
      <c r="V82" s="39" t="s">
        <v>580</v>
      </c>
      <c r="W82" s="85" t="s">
        <v>547</v>
      </c>
      <c r="X82" s="37" t="s">
        <v>153</v>
      </c>
      <c r="Y82" s="39" t="s">
        <v>532</v>
      </c>
      <c r="Z82" s="85" t="s">
        <v>544</v>
      </c>
      <c r="AA82" s="37" t="s">
        <v>572</v>
      </c>
      <c r="AB82" s="39" t="s">
        <v>545</v>
      </c>
      <c r="AC82" s="85" t="s">
        <v>522</v>
      </c>
      <c r="AD82" s="37" t="s">
        <v>393</v>
      </c>
      <c r="AE82" s="39" t="s">
        <v>488</v>
      </c>
      <c r="AF82" s="85" t="s">
        <v>551</v>
      </c>
      <c r="AG82" s="37" t="s">
        <v>572</v>
      </c>
      <c r="AH82" s="37" t="s">
        <v>492</v>
      </c>
    </row>
    <row r="83" spans="1:74" ht="15" customHeight="1">
      <c r="A83" s="8" t="s">
        <v>581</v>
      </c>
      <c r="B83" s="11" t="s">
        <v>577</v>
      </c>
      <c r="C83" s="40">
        <v>12.2</v>
      </c>
      <c r="D83" s="37">
        <v>2.2000000000000002</v>
      </c>
      <c r="E83" s="37" t="s">
        <v>325</v>
      </c>
      <c r="F83" s="11" t="s">
        <v>354</v>
      </c>
      <c r="G83" s="31" t="s">
        <v>40</v>
      </c>
      <c r="H83" s="31" t="s">
        <v>355</v>
      </c>
      <c r="I83" s="31" t="s">
        <v>135</v>
      </c>
      <c r="J83" s="39" t="s">
        <v>582</v>
      </c>
      <c r="K83" s="30" t="s">
        <v>61</v>
      </c>
      <c r="L83" s="31" t="s">
        <v>45</v>
      </c>
      <c r="M83" s="32" t="s">
        <v>63</v>
      </c>
      <c r="N83" s="25" t="s">
        <v>47</v>
      </c>
      <c r="O83" s="28" t="s">
        <v>48</v>
      </c>
      <c r="P83" s="29">
        <v>2</v>
      </c>
      <c r="Q83" s="86" t="s">
        <v>222</v>
      </c>
      <c r="R83" s="37">
        <v>13</v>
      </c>
      <c r="S83" s="39" t="s">
        <v>393</v>
      </c>
      <c r="T83" s="85" t="s">
        <v>438</v>
      </c>
      <c r="U83" s="37" t="s">
        <v>222</v>
      </c>
      <c r="V83" s="39" t="s">
        <v>556</v>
      </c>
      <c r="W83" s="85" t="s">
        <v>547</v>
      </c>
      <c r="X83" s="37" t="s">
        <v>153</v>
      </c>
      <c r="Y83" s="39" t="s">
        <v>532</v>
      </c>
      <c r="Z83" s="85"/>
      <c r="AA83" s="37"/>
      <c r="AB83" s="39"/>
      <c r="AC83" s="85" t="s">
        <v>62</v>
      </c>
      <c r="AD83" s="37" t="s">
        <v>62</v>
      </c>
      <c r="AE83" s="39" t="s">
        <v>62</v>
      </c>
      <c r="AF83" s="85" t="s">
        <v>62</v>
      </c>
      <c r="AG83" s="37" t="s">
        <v>62</v>
      </c>
      <c r="AH83" s="37" t="s">
        <v>62</v>
      </c>
    </row>
    <row r="84" spans="1:74" ht="15" customHeight="1">
      <c r="A84" s="9" t="s">
        <v>583</v>
      </c>
      <c r="B84" s="11" t="s">
        <v>577</v>
      </c>
      <c r="C84" s="40">
        <v>12.5</v>
      </c>
      <c r="D84" s="37" t="s">
        <v>584</v>
      </c>
      <c r="E84" s="37" t="s">
        <v>254</v>
      </c>
      <c r="F84" s="11" t="s">
        <v>392</v>
      </c>
      <c r="G84" s="31" t="s">
        <v>40</v>
      </c>
      <c r="H84" s="31" t="s">
        <v>364</v>
      </c>
      <c r="I84" s="31" t="s">
        <v>438</v>
      </c>
      <c r="J84" s="39" t="s">
        <v>585</v>
      </c>
      <c r="K84" s="30" t="s">
        <v>61</v>
      </c>
      <c r="L84" s="31" t="s">
        <v>62</v>
      </c>
      <c r="M84" s="32" t="s">
        <v>46</v>
      </c>
      <c r="N84" s="25" t="s">
        <v>47</v>
      </c>
      <c r="O84" s="28" t="s">
        <v>48</v>
      </c>
      <c r="P84" s="29">
        <v>1.6</v>
      </c>
      <c r="Q84" s="86" t="s">
        <v>89</v>
      </c>
      <c r="R84" s="37">
        <v>12</v>
      </c>
      <c r="S84" s="39" t="s">
        <v>471</v>
      </c>
      <c r="T84" s="85" t="s">
        <v>572</v>
      </c>
      <c r="U84" s="37" t="s">
        <v>89</v>
      </c>
      <c r="V84" s="39" t="s">
        <v>547</v>
      </c>
      <c r="W84" s="85" t="s">
        <v>557</v>
      </c>
      <c r="X84" s="37" t="s">
        <v>153</v>
      </c>
      <c r="Y84" s="39" t="s">
        <v>544</v>
      </c>
      <c r="Z84" s="85" t="s">
        <v>556</v>
      </c>
      <c r="AA84" s="37" t="s">
        <v>393</v>
      </c>
      <c r="AB84" s="39" t="s">
        <v>523</v>
      </c>
      <c r="AC84" s="85" t="s">
        <v>524</v>
      </c>
      <c r="AD84" s="37" t="s">
        <v>291</v>
      </c>
      <c r="AE84" s="39" t="s">
        <v>523</v>
      </c>
      <c r="AF84" s="85" t="s">
        <v>523</v>
      </c>
      <c r="AG84" s="37" t="s">
        <v>393</v>
      </c>
      <c r="AH84" s="37" t="s">
        <v>523</v>
      </c>
    </row>
    <row r="85" spans="1:74" ht="15" customHeight="1">
      <c r="A85" s="8" t="s">
        <v>586</v>
      </c>
      <c r="B85" s="11" t="s">
        <v>577</v>
      </c>
      <c r="C85" s="40">
        <v>14.4</v>
      </c>
      <c r="D85" s="37" t="s">
        <v>587</v>
      </c>
      <c r="E85" s="37" t="s">
        <v>588</v>
      </c>
      <c r="F85" s="11" t="s">
        <v>392</v>
      </c>
      <c r="G85" s="31" t="s">
        <v>40</v>
      </c>
      <c r="H85" s="31" t="s">
        <v>470</v>
      </c>
      <c r="I85" s="31" t="s">
        <v>589</v>
      </c>
      <c r="J85" s="39" t="s">
        <v>590</v>
      </c>
      <c r="K85" s="30" t="s">
        <v>61</v>
      </c>
      <c r="L85" s="31" t="s">
        <v>62</v>
      </c>
      <c r="M85" s="32" t="s">
        <v>63</v>
      </c>
      <c r="N85" s="25" t="s">
        <v>47</v>
      </c>
      <c r="O85" s="28" t="s">
        <v>48</v>
      </c>
      <c r="P85" s="29">
        <v>4.7</v>
      </c>
      <c r="Q85" s="86" t="s">
        <v>190</v>
      </c>
      <c r="R85" s="37">
        <v>11</v>
      </c>
      <c r="S85" s="39" t="s">
        <v>356</v>
      </c>
      <c r="T85" s="85" t="s">
        <v>270</v>
      </c>
      <c r="U85" s="37" t="s">
        <v>190</v>
      </c>
      <c r="V85" s="39" t="s">
        <v>291</v>
      </c>
      <c r="W85" s="85" t="s">
        <v>438</v>
      </c>
      <c r="X85" s="37" t="s">
        <v>236</v>
      </c>
      <c r="Y85" s="39" t="s">
        <v>557</v>
      </c>
      <c r="Z85" s="85" t="s">
        <v>300</v>
      </c>
      <c r="AA85" s="37" t="s">
        <v>270</v>
      </c>
      <c r="AB85" s="39" t="s">
        <v>532</v>
      </c>
      <c r="AC85" s="85" t="s">
        <v>544</v>
      </c>
      <c r="AD85" s="37" t="s">
        <v>222</v>
      </c>
      <c r="AE85" s="39" t="s">
        <v>531</v>
      </c>
      <c r="AF85" s="85" t="s">
        <v>524</v>
      </c>
      <c r="AG85" s="37" t="s">
        <v>356</v>
      </c>
      <c r="AH85" s="37" t="s">
        <v>522</v>
      </c>
    </row>
    <row r="86" spans="1:74" ht="15" customHeight="1">
      <c r="A86" s="9" t="s">
        <v>591</v>
      </c>
      <c r="B86" s="11" t="s">
        <v>577</v>
      </c>
      <c r="C86" s="40">
        <v>16</v>
      </c>
      <c r="D86" s="37" t="s">
        <v>592</v>
      </c>
      <c r="E86" s="37" t="s">
        <v>80</v>
      </c>
      <c r="F86" s="11" t="s">
        <v>437</v>
      </c>
      <c r="G86" s="31" t="s">
        <v>40</v>
      </c>
      <c r="H86" s="31" t="s">
        <v>466</v>
      </c>
      <c r="I86" s="31" t="s">
        <v>202</v>
      </c>
      <c r="J86" s="39" t="s">
        <v>593</v>
      </c>
      <c r="K86" s="30" t="s">
        <v>61</v>
      </c>
      <c r="L86" s="31" t="s">
        <v>45</v>
      </c>
      <c r="M86" s="32" t="s">
        <v>63</v>
      </c>
      <c r="N86" s="25" t="s">
        <v>47</v>
      </c>
      <c r="O86" s="28" t="s">
        <v>48</v>
      </c>
      <c r="P86" s="29">
        <v>1.7</v>
      </c>
      <c r="Q86" s="86" t="s">
        <v>236</v>
      </c>
      <c r="R86" s="37">
        <v>10</v>
      </c>
      <c r="S86" s="39" t="s">
        <v>89</v>
      </c>
      <c r="T86" s="85" t="s">
        <v>222</v>
      </c>
      <c r="U86" s="37" t="s">
        <v>236</v>
      </c>
      <c r="V86" s="39" t="s">
        <v>393</v>
      </c>
      <c r="W86" s="85" t="s">
        <v>471</v>
      </c>
      <c r="X86" s="37" t="s">
        <v>135</v>
      </c>
      <c r="Y86" s="39" t="s">
        <v>438</v>
      </c>
      <c r="Z86" s="85" t="s">
        <v>572</v>
      </c>
      <c r="AA86" s="37" t="s">
        <v>222</v>
      </c>
      <c r="AB86" s="39" t="s">
        <v>556</v>
      </c>
      <c r="AC86" s="85" t="s">
        <v>547</v>
      </c>
      <c r="AD86" s="37" t="s">
        <v>153</v>
      </c>
      <c r="AE86" s="39" t="s">
        <v>532</v>
      </c>
      <c r="AF86" s="85" t="s">
        <v>62</v>
      </c>
      <c r="AG86" s="37" t="s">
        <v>62</v>
      </c>
      <c r="AH86" s="37" t="s">
        <v>62</v>
      </c>
    </row>
    <row r="87" spans="1:74" ht="15" customHeight="1">
      <c r="A87" s="8" t="s">
        <v>594</v>
      </c>
      <c r="B87" s="11" t="s">
        <v>577</v>
      </c>
      <c r="C87" s="40">
        <v>17.8</v>
      </c>
      <c r="D87" s="37">
        <v>2</v>
      </c>
      <c r="E87" s="37" t="s">
        <v>86</v>
      </c>
      <c r="F87" s="11" t="s">
        <v>437</v>
      </c>
      <c r="G87" s="31" t="s">
        <v>40</v>
      </c>
      <c r="H87" s="31" t="s">
        <v>389</v>
      </c>
      <c r="I87" s="31" t="s">
        <v>190</v>
      </c>
      <c r="J87" s="39" t="s">
        <v>595</v>
      </c>
      <c r="K87" s="30" t="s">
        <v>596</v>
      </c>
      <c r="L87" s="31" t="s">
        <v>62</v>
      </c>
      <c r="M87" s="32" t="s">
        <v>46</v>
      </c>
      <c r="N87" s="25" t="s">
        <v>47</v>
      </c>
      <c r="O87" s="28" t="s">
        <v>48</v>
      </c>
      <c r="P87" s="29">
        <v>1.6</v>
      </c>
      <c r="Q87" s="86" t="s">
        <v>42</v>
      </c>
      <c r="R87" s="37">
        <v>8</v>
      </c>
      <c r="S87" s="39" t="s">
        <v>190</v>
      </c>
      <c r="T87" s="85" t="s">
        <v>153</v>
      </c>
      <c r="U87" s="37" t="s">
        <v>42</v>
      </c>
      <c r="V87" s="39" t="s">
        <v>356</v>
      </c>
      <c r="W87" s="85" t="s">
        <v>356</v>
      </c>
      <c r="X87" s="37" t="s">
        <v>202</v>
      </c>
      <c r="Y87" s="39" t="s">
        <v>471</v>
      </c>
      <c r="Z87" s="85" t="s">
        <v>62</v>
      </c>
      <c r="AA87" s="85" t="s">
        <v>62</v>
      </c>
      <c r="AB87" s="85" t="s">
        <v>62</v>
      </c>
      <c r="AC87" s="85" t="s">
        <v>62</v>
      </c>
      <c r="AD87" s="85" t="s">
        <v>62</v>
      </c>
      <c r="AE87" s="85" t="s">
        <v>62</v>
      </c>
      <c r="AF87" s="85" t="s">
        <v>62</v>
      </c>
      <c r="AG87" s="85" t="s">
        <v>62</v>
      </c>
      <c r="AH87" s="85" t="s">
        <v>62</v>
      </c>
    </row>
    <row r="88" spans="1:74" s="64" customFormat="1" ht="15" customHeight="1">
      <c r="A88" s="53" t="s">
        <v>597</v>
      </c>
      <c r="B88" s="54" t="s">
        <v>577</v>
      </c>
      <c r="C88" s="55">
        <v>19</v>
      </c>
      <c r="D88" s="56">
        <v>1.6</v>
      </c>
      <c r="E88" s="56" t="s">
        <v>86</v>
      </c>
      <c r="F88" s="92">
        <v>-0.02</v>
      </c>
      <c r="G88" s="57" t="s">
        <v>40</v>
      </c>
      <c r="H88" s="57" t="s">
        <v>389</v>
      </c>
      <c r="I88" s="57" t="s">
        <v>578</v>
      </c>
      <c r="J88" s="58" t="s">
        <v>472</v>
      </c>
      <c r="K88" s="59" t="s">
        <v>72</v>
      </c>
      <c r="L88" s="57" t="s">
        <v>92</v>
      </c>
      <c r="M88" s="60" t="s">
        <v>63</v>
      </c>
      <c r="N88" s="61" t="s">
        <v>47</v>
      </c>
      <c r="O88" s="62" t="s">
        <v>48</v>
      </c>
      <c r="P88" s="63">
        <v>2</v>
      </c>
      <c r="Q88" s="165"/>
      <c r="R88" s="56"/>
      <c r="S88" s="58"/>
      <c r="T88" s="166"/>
      <c r="U88" s="56"/>
      <c r="V88" s="58"/>
      <c r="W88" s="166"/>
      <c r="X88" s="56"/>
      <c r="Y88" s="58"/>
      <c r="Z88" s="166"/>
      <c r="AA88" s="166"/>
      <c r="AB88" s="60"/>
      <c r="AC88" s="166"/>
      <c r="AD88" s="166"/>
      <c r="AE88" s="60"/>
      <c r="AF88" s="166"/>
      <c r="AG88" s="166"/>
      <c r="AH88" s="166"/>
    </row>
    <row r="89" spans="1:74" ht="15" customHeight="1">
      <c r="A89" s="8" t="s">
        <v>598</v>
      </c>
      <c r="B89" s="11" t="s">
        <v>577</v>
      </c>
      <c r="C89" s="40">
        <v>21.8</v>
      </c>
      <c r="D89" s="37" t="s">
        <v>599</v>
      </c>
      <c r="E89" s="37" t="s">
        <v>600</v>
      </c>
      <c r="F89" s="11" t="s">
        <v>392</v>
      </c>
      <c r="G89" s="31" t="s">
        <v>40</v>
      </c>
      <c r="H89" s="31" t="s">
        <v>470</v>
      </c>
      <c r="I89" s="31" t="s">
        <v>601</v>
      </c>
      <c r="J89" s="39" t="s">
        <v>602</v>
      </c>
      <c r="K89" s="30" t="s">
        <v>603</v>
      </c>
      <c r="L89" s="31" t="s">
        <v>62</v>
      </c>
      <c r="M89" s="32" t="s">
        <v>63</v>
      </c>
      <c r="N89" s="25" t="s">
        <v>47</v>
      </c>
      <c r="O89" s="28" t="s">
        <v>48</v>
      </c>
      <c r="P89" s="29">
        <v>5.6</v>
      </c>
      <c r="Q89" s="86" t="s">
        <v>202</v>
      </c>
      <c r="R89" s="37">
        <v>7</v>
      </c>
      <c r="S89" s="39" t="s">
        <v>135</v>
      </c>
      <c r="T89" s="85" t="s">
        <v>604</v>
      </c>
      <c r="U89" s="37" t="s">
        <v>202</v>
      </c>
      <c r="V89" s="39" t="s">
        <v>89</v>
      </c>
      <c r="W89" s="85" t="s">
        <v>153</v>
      </c>
      <c r="X89" s="37" t="s">
        <v>70</v>
      </c>
      <c r="Y89" s="39" t="s">
        <v>222</v>
      </c>
      <c r="Z89" s="85" t="s">
        <v>222</v>
      </c>
      <c r="AA89" s="37" t="s">
        <v>135</v>
      </c>
      <c r="AB89" s="39" t="s">
        <v>393</v>
      </c>
      <c r="AC89" s="85" t="s">
        <v>471</v>
      </c>
      <c r="AD89" s="37" t="s">
        <v>42</v>
      </c>
      <c r="AE89" s="39" t="s">
        <v>438</v>
      </c>
      <c r="AF89" s="85" t="s">
        <v>393</v>
      </c>
      <c r="AG89" s="37" t="s">
        <v>135</v>
      </c>
      <c r="AH89" s="37" t="s">
        <v>291</v>
      </c>
    </row>
    <row r="90" spans="1:74" s="64" customFormat="1" ht="15" customHeight="1">
      <c r="A90" s="53" t="s">
        <v>605</v>
      </c>
      <c r="B90" s="54" t="s">
        <v>577</v>
      </c>
      <c r="C90" s="55">
        <v>25</v>
      </c>
      <c r="D90" s="56">
        <v>2.4</v>
      </c>
      <c r="E90" s="56" t="s">
        <v>67</v>
      </c>
      <c r="F90" s="92">
        <v>-0.03</v>
      </c>
      <c r="G90" s="57" t="s">
        <v>200</v>
      </c>
      <c r="H90" s="57" t="s">
        <v>402</v>
      </c>
      <c r="I90" s="57" t="s">
        <v>42</v>
      </c>
      <c r="J90" s="58" t="s">
        <v>606</v>
      </c>
      <c r="K90" s="59" t="s">
        <v>72</v>
      </c>
      <c r="L90" s="57" t="s">
        <v>62</v>
      </c>
      <c r="M90" s="60" t="s">
        <v>63</v>
      </c>
      <c r="N90" s="61" t="s">
        <v>47</v>
      </c>
      <c r="O90" s="62" t="s">
        <v>48</v>
      </c>
      <c r="P90" s="63">
        <v>6.3</v>
      </c>
      <c r="Q90" s="165" t="s">
        <v>124</v>
      </c>
      <c r="R90" s="56">
        <v>6</v>
      </c>
      <c r="S90" s="58" t="s">
        <v>202</v>
      </c>
      <c r="T90" s="166" t="s">
        <v>42</v>
      </c>
      <c r="U90" s="56" t="s">
        <v>124</v>
      </c>
      <c r="V90" s="58" t="s">
        <v>236</v>
      </c>
      <c r="W90" s="166" t="s">
        <v>236</v>
      </c>
      <c r="X90" s="56" t="s">
        <v>326</v>
      </c>
      <c r="Y90" s="58" t="s">
        <v>190</v>
      </c>
      <c r="Z90" s="166" t="s">
        <v>190</v>
      </c>
      <c r="AA90" s="56" t="s">
        <v>202</v>
      </c>
      <c r="AB90" s="58" t="s">
        <v>222</v>
      </c>
      <c r="AC90" s="166" t="s">
        <v>89</v>
      </c>
      <c r="AD90" s="56" t="s">
        <v>135</v>
      </c>
      <c r="AE90" s="58" t="s">
        <v>270</v>
      </c>
      <c r="AF90" s="166" t="s">
        <v>356</v>
      </c>
      <c r="AG90" s="56" t="s">
        <v>202</v>
      </c>
      <c r="AH90" s="56" t="s">
        <v>471</v>
      </c>
    </row>
    <row r="91" spans="1:74" s="64" customFormat="1">
      <c r="A91" s="9" t="s">
        <v>607</v>
      </c>
      <c r="B91" s="11" t="s">
        <v>577</v>
      </c>
      <c r="C91" s="40">
        <v>35</v>
      </c>
      <c r="D91" s="37">
        <v>2.4</v>
      </c>
      <c r="E91" s="37" t="s">
        <v>80</v>
      </c>
      <c r="F91" s="11" t="s">
        <v>427</v>
      </c>
      <c r="G91" s="31" t="s">
        <v>40</v>
      </c>
      <c r="H91" s="31" t="s">
        <v>507</v>
      </c>
      <c r="I91" s="31" t="s">
        <v>236</v>
      </c>
      <c r="J91" s="39" t="s">
        <v>608</v>
      </c>
      <c r="K91" s="45" t="s">
        <v>478</v>
      </c>
      <c r="L91" s="31" t="s">
        <v>62</v>
      </c>
      <c r="M91" s="32" t="s">
        <v>63</v>
      </c>
      <c r="N91" s="25" t="s">
        <v>47</v>
      </c>
      <c r="O91" s="28" t="s">
        <v>48</v>
      </c>
      <c r="P91" s="29">
        <v>3.8</v>
      </c>
      <c r="Q91" s="86" t="s">
        <v>578</v>
      </c>
      <c r="R91" s="37">
        <v>4</v>
      </c>
      <c r="S91" s="39" t="s">
        <v>326</v>
      </c>
      <c r="T91" s="85" t="s">
        <v>124</v>
      </c>
      <c r="U91" s="37" t="s">
        <v>578</v>
      </c>
      <c r="V91" s="39" t="s">
        <v>202</v>
      </c>
      <c r="W91" s="85" t="s">
        <v>70</v>
      </c>
      <c r="X91" s="37" t="s">
        <v>563</v>
      </c>
      <c r="Y91" s="39" t="s">
        <v>42</v>
      </c>
      <c r="Z91" s="85" t="s">
        <v>202</v>
      </c>
      <c r="AA91" s="37" t="s">
        <v>124</v>
      </c>
      <c r="AB91" s="39" t="s">
        <v>236</v>
      </c>
      <c r="AC91" s="85" t="s">
        <v>236</v>
      </c>
      <c r="AD91" s="37" t="s">
        <v>326</v>
      </c>
      <c r="AE91" s="39" t="s">
        <v>190</v>
      </c>
      <c r="AF91" s="85" t="s">
        <v>236</v>
      </c>
      <c r="AG91" s="37" t="s">
        <v>326</v>
      </c>
      <c r="AH91" s="37" t="s">
        <v>153</v>
      </c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</row>
    <row r="92" spans="1:74" s="64" customFormat="1">
      <c r="A92" s="224" t="s">
        <v>609</v>
      </c>
      <c r="B92" s="225" t="s">
        <v>577</v>
      </c>
      <c r="C92" s="33">
        <v>50</v>
      </c>
      <c r="D92" s="226">
        <v>2.8</v>
      </c>
      <c r="E92" s="34" t="s">
        <v>80</v>
      </c>
      <c r="F92" s="227" t="s">
        <v>427</v>
      </c>
      <c r="G92" s="25" t="s">
        <v>40</v>
      </c>
      <c r="H92" s="228" t="s">
        <v>402</v>
      </c>
      <c r="I92" s="228" t="s">
        <v>70</v>
      </c>
      <c r="J92" s="229" t="s">
        <v>610</v>
      </c>
      <c r="K92" s="230" t="s">
        <v>302</v>
      </c>
      <c r="L92" s="25" t="s">
        <v>45</v>
      </c>
      <c r="M92" s="27" t="s">
        <v>63</v>
      </c>
      <c r="N92" s="25" t="s">
        <v>47</v>
      </c>
      <c r="O92" s="28" t="s">
        <v>48</v>
      </c>
      <c r="P92" s="29">
        <v>7.2</v>
      </c>
      <c r="Q92" s="86" t="s">
        <v>83</v>
      </c>
      <c r="R92" s="37">
        <v>3</v>
      </c>
      <c r="S92" s="39" t="s">
        <v>563</v>
      </c>
      <c r="T92" s="85" t="s">
        <v>563</v>
      </c>
      <c r="U92" s="37" t="s">
        <v>83</v>
      </c>
      <c r="V92" s="39" t="s">
        <v>326</v>
      </c>
      <c r="W92" s="85" t="s">
        <v>326</v>
      </c>
      <c r="X92" s="37" t="s">
        <v>83</v>
      </c>
      <c r="Y92" s="39" t="s">
        <v>124</v>
      </c>
      <c r="Z92" s="85" t="s">
        <v>326</v>
      </c>
      <c r="AA92" s="37" t="s">
        <v>563</v>
      </c>
      <c r="AB92" s="39" t="s">
        <v>70</v>
      </c>
      <c r="AC92" s="85" t="s">
        <v>70</v>
      </c>
      <c r="AD92" s="37" t="s">
        <v>563</v>
      </c>
      <c r="AE92" s="39" t="s">
        <v>202</v>
      </c>
      <c r="AF92" s="85" t="s">
        <v>70</v>
      </c>
      <c r="AG92" s="37" t="s">
        <v>563</v>
      </c>
      <c r="AH92" s="37" t="s">
        <v>42</v>
      </c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</row>
    <row r="93" spans="1:74">
      <c r="A93" s="236" t="s">
        <v>746</v>
      </c>
      <c r="B93" s="225" t="s">
        <v>577</v>
      </c>
      <c r="C93" s="234">
        <v>75</v>
      </c>
      <c r="D93" s="234">
        <v>3.5</v>
      </c>
      <c r="E93" s="234" t="s">
        <v>67</v>
      </c>
      <c r="F93" s="234" t="s">
        <v>427</v>
      </c>
      <c r="G93" s="234" t="s">
        <v>40</v>
      </c>
      <c r="H93" s="234" t="s">
        <v>402</v>
      </c>
      <c r="I93" s="234" t="s">
        <v>578</v>
      </c>
      <c r="J93" s="234" t="s">
        <v>747</v>
      </c>
      <c r="K93" s="234" t="s">
        <v>720</v>
      </c>
      <c r="L93" s="231" t="s">
        <v>62</v>
      </c>
      <c r="M93" s="232" t="s">
        <v>63</v>
      </c>
      <c r="N93" s="231" t="s">
        <v>47</v>
      </c>
      <c r="O93" s="233" t="s">
        <v>48</v>
      </c>
      <c r="P93" s="234">
        <v>8</v>
      </c>
      <c r="Q93" s="235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</row>
  </sheetData>
  <autoFilter ref="A1:AH93" xr:uid="{93BC4DC2-B36E-49D3-970A-9CAA6CD87971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15">
    <mergeCell ref="Z6:AB6"/>
    <mergeCell ref="AC6:AE6"/>
    <mergeCell ref="AF6:AH6"/>
    <mergeCell ref="A1:O1"/>
    <mergeCell ref="A4:O4"/>
    <mergeCell ref="Q4:S4"/>
    <mergeCell ref="A5:O5"/>
    <mergeCell ref="Q5:AH5"/>
    <mergeCell ref="C6:J6"/>
    <mergeCell ref="K6:O6"/>
    <mergeCell ref="Q6:S6"/>
    <mergeCell ref="T6:V6"/>
    <mergeCell ref="W6:Y6"/>
    <mergeCell ref="A3:O3"/>
    <mergeCell ref="A2:O2"/>
  </mergeCells>
  <hyperlinks>
    <hyperlink ref="A20" r:id="rId1" xr:uid="{FD926CED-5AD6-442B-9B9B-94AFF8EE5D93}"/>
    <hyperlink ref="A21" r:id="rId2" xr:uid="{7BF5217F-1359-4516-A426-FFC4CEEB5DC8}"/>
    <hyperlink ref="A34" r:id="rId3" xr:uid="{AD313F4C-5CBA-46A7-92B2-281D2996D9BE}"/>
    <hyperlink ref="A42" r:id="rId4" xr:uid="{89C54FBB-FB4C-47EB-BEB7-A148989716B5}"/>
    <hyperlink ref="A48" r:id="rId5" xr:uid="{6C7373E8-1DF3-492F-95D5-660A1E420047}"/>
    <hyperlink ref="A59" r:id="rId6" xr:uid="{E1D5C2A0-9C74-4E2A-A328-D4DBC743BD2B}"/>
    <hyperlink ref="A84" r:id="rId7" xr:uid="{A51E92AA-AC64-4D87-86A5-D9817FD2F11C}"/>
    <hyperlink ref="A90" r:id="rId8" xr:uid="{1994A63A-1708-4FB5-91D4-E36106B8245E}"/>
    <hyperlink ref="A91" r:id="rId9" xr:uid="{7C63802D-70F9-4D09-B7EF-0D57BA034F7F}"/>
    <hyperlink ref="A14" r:id="rId10" xr:uid="{AC5BA541-2214-46E0-B141-F76CFB6A0FF5}"/>
    <hyperlink ref="A26" r:id="rId11" xr:uid="{D7003B2C-1472-4643-9EFA-BE0D176278AB}"/>
    <hyperlink ref="A32" r:id="rId12" xr:uid="{4F5EF025-37B1-4D7F-9AF5-FC83A4EC653C}"/>
    <hyperlink ref="A33" r:id="rId13" xr:uid="{3B1F76C2-52D3-4625-96B0-62DAD51C65E7}"/>
    <hyperlink ref="A44" r:id="rId14" xr:uid="{696EB0C8-0C3A-4183-A42C-04AEE68F4C97}"/>
    <hyperlink ref="A45" r:id="rId15" xr:uid="{F3D0D491-E4C4-4141-B319-D9C922EAF472}"/>
    <hyperlink ref="A49" r:id="rId16" xr:uid="{33D4E53A-9BDB-4459-B800-5E999FE7EF24}"/>
    <hyperlink ref="A53" r:id="rId17" xr:uid="{6DFE121D-A580-48A5-95A3-B8EAD3BBC15A}"/>
    <hyperlink ref="A58" r:id="rId18" xr:uid="{5E935F2D-739E-4E56-B1F3-CCFEDC248FEA}"/>
    <hyperlink ref="A72" r:id="rId19" xr:uid="{EFE5C210-8EBB-4E5C-A7FB-A29FC8D54337}"/>
    <hyperlink ref="A10" r:id="rId20" xr:uid="{F0B6BE8A-3A71-464B-B89B-621C564F2D0B}"/>
    <hyperlink ref="A15" r:id="rId21" xr:uid="{D67B8DCB-2362-4558-81FF-92C5F40A06E6}"/>
    <hyperlink ref="A17" r:id="rId22" xr:uid="{9534D8DB-3795-485A-82BC-E83240C4B37B}"/>
    <hyperlink ref="A25" r:id="rId23" xr:uid="{D6C1F0AD-3B99-403A-933C-CB26B21D7AFC}"/>
    <hyperlink ref="A27" r:id="rId24" xr:uid="{4BED84D2-7146-40C0-8F33-6E1B5DBFB5B3}"/>
    <hyperlink ref="A29" r:id="rId25" xr:uid="{6A783A84-F098-401E-98B6-D41929A5D850}"/>
    <hyperlink ref="A30" r:id="rId26" xr:uid="{21500783-48B4-4E3C-BCEF-494C7A5CED85}"/>
    <hyperlink ref="A35" r:id="rId27" xr:uid="{F62C2BC2-5127-4561-B83E-F72D0C1DF8B9}"/>
    <hyperlink ref="A62" r:id="rId28" display="CIL344A " xr:uid="{6A9F309C-1EAF-4B68-BEB2-27974E70F959}"/>
    <hyperlink ref="A61" r:id="rId29" xr:uid="{67AA74C4-638D-46C0-8A22-69528EB2F31A}"/>
    <hyperlink ref="A70" r:id="rId30" xr:uid="{08CA7C73-7F2E-4DAD-B906-044C4FFAADED}"/>
    <hyperlink ref="A74" r:id="rId31" xr:uid="{849C9F88-E30F-4006-97FE-A43D55383732}"/>
    <hyperlink ref="A23" r:id="rId32" xr:uid="{D926689A-C804-4884-B02D-3F07EC87143C}"/>
    <hyperlink ref="A92" r:id="rId33" xr:uid="{BE6B6B7A-6AFF-426A-B14E-13C9F2594767}"/>
    <hyperlink ref="A19" r:id="rId34" xr:uid="{C1EBFD67-7198-4A17-A97D-0848481C6FB4}"/>
    <hyperlink ref="A9" r:id="rId35" xr:uid="{33B7F38F-C8F9-45C5-A163-75FF8F81639F}"/>
    <hyperlink ref="A8" r:id="rId36" xr:uid="{52BA128E-5A79-4209-87B9-792C93A1F9BA}"/>
    <hyperlink ref="A18" r:id="rId37" xr:uid="{F30AA225-0A94-4208-A897-D6205029264B}"/>
    <hyperlink ref="A38" r:id="rId38" xr:uid="{9D537E28-6770-4973-87AD-320335DA0EA7}"/>
    <hyperlink ref="A37" r:id="rId39" xr:uid="{D76139C9-FCE1-4E7A-A1AE-293DBF10290A}"/>
    <hyperlink ref="A39" r:id="rId40" xr:uid="{0080A1FF-04BE-453A-8343-8D7EAB3EACFF}"/>
    <hyperlink ref="A41" r:id="rId41" xr:uid="{EDA56A0F-FA40-4B88-9ABD-5B023A7DAF05}"/>
    <hyperlink ref="A47" r:id="rId42" xr:uid="{9B27A6F0-1CA7-4EB8-8B92-4B3F13BE66AC}"/>
    <hyperlink ref="A50" r:id="rId43" xr:uid="{DB603B1C-63C0-4A13-B2BB-F364B505AF93}"/>
    <hyperlink ref="A63" r:id="rId44" xr:uid="{4D32332C-6C42-4EC2-A055-160B766C435A}"/>
    <hyperlink ref="A77" r:id="rId45" xr:uid="{072EE094-2C1A-4833-99A0-6E4E788E28F4}"/>
    <hyperlink ref="A75" r:id="rId46" xr:uid="{164D4BC1-5CD8-4640-B01B-8BE627B7D9D0}"/>
    <hyperlink ref="A87" r:id="rId47" xr:uid="{334F5D13-FEC7-41E5-AAC0-70E2A551EDA4}"/>
    <hyperlink ref="A85" r:id="rId48" xr:uid="{DA46CACD-732A-4A0C-BD94-6DAB5A532CA9}"/>
    <hyperlink ref="A89" r:id="rId49" xr:uid="{A78D3E33-5ACD-4E37-BA44-D1BE2B0F9AE6}"/>
    <hyperlink ref="A13" r:id="rId50" xr:uid="{7B18E163-74DE-4F1B-9E99-E1226784A3F7}"/>
    <hyperlink ref="A57" r:id="rId51" xr:uid="{FEA20F80-C39D-46C9-B598-04BD3F89C6AA}"/>
    <hyperlink ref="A43" r:id="rId52" xr:uid="{10692836-4F7C-49F2-B08D-3CBE65DA8AA4}"/>
    <hyperlink ref="A86" r:id="rId53" xr:uid="{51B21632-5321-46E2-8814-C4ADB824F8A2}"/>
    <hyperlink ref="A16" r:id="rId54" xr:uid="{B25F997B-9A18-45C7-8D40-4868EE76AE23}"/>
    <hyperlink ref="A22" r:id="rId55" xr:uid="{31944357-61E6-49A3-9A8D-629941191940}"/>
    <hyperlink ref="A28" r:id="rId56" xr:uid="{347EA147-0ECE-49D1-A65C-AA07F3B19007}"/>
    <hyperlink ref="A31" r:id="rId57" xr:uid="{0D711C5C-AAB5-4764-A3A2-51FD3624C37A}"/>
    <hyperlink ref="A46" r:id="rId58" xr:uid="{134F0DE8-6E0A-40F0-B192-89972DFBAA4B}"/>
    <hyperlink ref="A52" r:id="rId59" xr:uid="{2D349108-CCA4-4661-AC0E-CBBC5DD2097F}"/>
    <hyperlink ref="A54" r:id="rId60" xr:uid="{80C32F84-050E-4374-8670-765EDE59FE05}"/>
    <hyperlink ref="A55" r:id="rId61" xr:uid="{B36275DC-1CE5-4BF7-8C06-CE3807859425}"/>
    <hyperlink ref="A56" r:id="rId62" xr:uid="{D9983F00-036D-4C47-9990-4A97CCE833ED}"/>
    <hyperlink ref="A60" r:id="rId63" xr:uid="{37342225-E2F7-4D68-9CEC-ED2921A2511B}"/>
    <hyperlink ref="A66" r:id="rId64" xr:uid="{F8361BF9-0DE8-4119-B77F-7AC8E1571AA9}"/>
    <hyperlink ref="A68" r:id="rId65" xr:uid="{469B6CFF-D8F7-4FA1-BD19-F617E9D719F7}"/>
    <hyperlink ref="A69" r:id="rId66" xr:uid="{9ED44CC8-3082-4940-83B6-26056633DCF3}"/>
    <hyperlink ref="A73" r:id="rId67" xr:uid="{9EEBC22E-4764-426B-9EAF-0BBF4D82B52A}"/>
    <hyperlink ref="A79" r:id="rId68" xr:uid="{2F8D1BF2-011E-41DE-B441-0DD9E8226776}"/>
    <hyperlink ref="A83" r:id="rId69" xr:uid="{59C6F443-61B8-49AD-839C-D001768408BE}"/>
    <hyperlink ref="A12" r:id="rId70" xr:uid="{FBA91DF4-5999-4BA1-9DD1-592E5CA28825}"/>
    <hyperlink ref="A36" r:id="rId71" xr:uid="{47F57122-0748-487E-AB02-3BBB7A331B3F}"/>
    <hyperlink ref="A82" r:id="rId72" xr:uid="{DD208BE2-A262-4733-995B-2008FB876B6A}"/>
    <hyperlink ref="A11" r:id="rId73" xr:uid="{00176500-C6EC-4CD9-9B66-F0084F35061D}"/>
    <hyperlink ref="A71" r:id="rId74" xr:uid="{06447E55-C49F-4751-BF0A-F5A61ACB2166}"/>
    <hyperlink ref="A78" r:id="rId75" xr:uid="{14AB03A3-ECF6-4B53-9E8D-0038B104C370}"/>
    <hyperlink ref="A24" r:id="rId76" xr:uid="{9C6739E6-47FE-4226-9001-4D7B9D1915B0}"/>
    <hyperlink ref="A40" r:id="rId77" display="CIL330" xr:uid="{775A18AA-7698-443F-97AB-CA758D312869}"/>
    <hyperlink ref="A76" r:id="rId78" xr:uid="{8665E295-E8CA-4466-8B56-98CE12BD02EF}"/>
    <hyperlink ref="A81" r:id="rId79" xr:uid="{39F54BA9-A117-4F83-A480-24B6B7C31FB1}"/>
    <hyperlink ref="A65" r:id="rId80" xr:uid="{23982DD9-869A-46F5-97F4-FE3B67B3AE28}"/>
    <hyperlink ref="A51" r:id="rId81" xr:uid="{1D0A2F7E-BE6F-4BD3-9485-EAFB969EDB53}"/>
  </hyperlinks>
  <pageMargins left="0.7" right="0.7" top="0.75" bottom="0.75" header="0.3" footer="0.3"/>
  <pageSetup orientation="portrait" r:id="rId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6"/>
  <sheetViews>
    <sheetView zoomScaleNormal="100" workbookViewId="0">
      <selection activeCell="A39" sqref="A39"/>
    </sheetView>
  </sheetViews>
  <sheetFormatPr defaultRowHeight="14.5"/>
  <cols>
    <col min="1" max="1" width="22.26953125" customWidth="1"/>
    <col min="2" max="3" width="14.453125" customWidth="1"/>
    <col min="4" max="4" width="22.453125" customWidth="1"/>
    <col min="5" max="5" width="14.26953125" customWidth="1"/>
    <col min="6" max="6" width="26.453125" customWidth="1"/>
    <col min="7" max="8" width="18.81640625" customWidth="1"/>
    <col min="9" max="9" width="14.1796875" customWidth="1"/>
    <col min="10" max="11" width="26.1796875" customWidth="1"/>
    <col min="12" max="12" width="18.54296875" customWidth="1"/>
  </cols>
  <sheetData>
    <row r="1" spans="1:36" ht="31.5" customHeight="1">
      <c r="A1" s="190" t="s">
        <v>611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36" ht="31.5" customHeight="1">
      <c r="A2" s="204" t="s">
        <v>612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</row>
    <row r="3" spans="1:36" ht="31.5" customHeight="1">
      <c r="A3" s="203" t="s">
        <v>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</row>
    <row r="4" spans="1:36" ht="29.15" customHeight="1">
      <c r="A4" s="191" t="s">
        <v>613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36" ht="22.5" customHeight="1">
      <c r="A5" s="193" t="s">
        <v>6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</row>
    <row r="6" spans="1:36" ht="19.5" customHeight="1">
      <c r="A6" s="7"/>
      <c r="B6" s="7"/>
      <c r="C6" s="7"/>
      <c r="D6" s="196" t="s">
        <v>8</v>
      </c>
      <c r="E6" s="197"/>
      <c r="F6" s="197"/>
      <c r="G6" s="197"/>
      <c r="H6" s="197"/>
      <c r="I6" s="196" t="s">
        <v>9</v>
      </c>
      <c r="J6" s="197"/>
      <c r="K6" s="197"/>
      <c r="L6" s="198"/>
    </row>
    <row r="7" spans="1:36" ht="15" customHeight="1">
      <c r="A7" s="15" t="s">
        <v>614</v>
      </c>
      <c r="B7" s="49" t="s">
        <v>615</v>
      </c>
      <c r="C7" s="49" t="s">
        <v>616</v>
      </c>
      <c r="D7" s="16" t="s">
        <v>18</v>
      </c>
      <c r="E7" s="15" t="s">
        <v>19</v>
      </c>
      <c r="F7" s="15" t="s">
        <v>617</v>
      </c>
      <c r="G7" s="15" t="s">
        <v>20</v>
      </c>
      <c r="H7" s="15" t="s">
        <v>618</v>
      </c>
      <c r="I7" s="74" t="s">
        <v>619</v>
      </c>
      <c r="J7" s="20" t="s">
        <v>620</v>
      </c>
      <c r="K7" s="20" t="s">
        <v>621</v>
      </c>
      <c r="L7" s="20" t="s">
        <v>622</v>
      </c>
    </row>
    <row r="8" spans="1:36" s="128" customFormat="1" ht="15" customHeight="1">
      <c r="A8" s="172" t="s">
        <v>623</v>
      </c>
      <c r="B8" s="187" t="s">
        <v>624</v>
      </c>
      <c r="C8" s="181" t="s">
        <v>37</v>
      </c>
      <c r="D8" s="121" t="s">
        <v>625</v>
      </c>
      <c r="E8" s="182">
        <v>2.2000000000000002</v>
      </c>
      <c r="F8" s="183" t="s">
        <v>626</v>
      </c>
      <c r="G8" s="182" t="s">
        <v>80</v>
      </c>
      <c r="H8" s="184" t="s">
        <v>627</v>
      </c>
      <c r="I8" s="149" t="s">
        <v>628</v>
      </c>
      <c r="J8" s="180" t="s">
        <v>629</v>
      </c>
      <c r="K8" s="31" t="s">
        <v>40</v>
      </c>
      <c r="L8" s="126" t="s">
        <v>630</v>
      </c>
    </row>
    <row r="9" spans="1:36" s="128" customFormat="1" ht="15" customHeight="1">
      <c r="A9" s="8" t="s">
        <v>631</v>
      </c>
      <c r="B9" s="187" t="s">
        <v>624</v>
      </c>
      <c r="C9" s="129" t="s">
        <v>632</v>
      </c>
      <c r="D9" s="121" t="s">
        <v>633</v>
      </c>
      <c r="E9" s="122" t="s">
        <v>634</v>
      </c>
      <c r="F9" s="122" t="s">
        <v>626</v>
      </c>
      <c r="G9" s="122" t="s">
        <v>80</v>
      </c>
      <c r="H9" s="146" t="s">
        <v>635</v>
      </c>
      <c r="I9" s="149" t="s">
        <v>636</v>
      </c>
      <c r="J9" s="145" t="s">
        <v>637</v>
      </c>
      <c r="K9" s="31" t="s">
        <v>40</v>
      </c>
      <c r="L9" s="135" t="s">
        <v>638</v>
      </c>
    </row>
    <row r="10" spans="1:36" s="128" customFormat="1" ht="15" customHeight="1">
      <c r="A10" s="164" t="s">
        <v>639</v>
      </c>
      <c r="B10" s="187" t="s">
        <v>624</v>
      </c>
      <c r="C10" s="174" t="s">
        <v>640</v>
      </c>
      <c r="D10" s="121" t="s">
        <v>554</v>
      </c>
      <c r="E10" s="122" t="s">
        <v>641</v>
      </c>
      <c r="F10" s="122" t="s">
        <v>642</v>
      </c>
      <c r="G10" s="122" t="s">
        <v>80</v>
      </c>
      <c r="H10" s="123" t="s">
        <v>627</v>
      </c>
      <c r="I10" s="149" t="s">
        <v>643</v>
      </c>
      <c r="J10" s="145" t="s">
        <v>644</v>
      </c>
      <c r="K10" s="31" t="s">
        <v>40</v>
      </c>
      <c r="L10" s="135" t="s">
        <v>645</v>
      </c>
    </row>
    <row r="11" spans="1:36" s="128" customFormat="1" ht="15" customHeight="1">
      <c r="A11" s="164" t="s">
        <v>646</v>
      </c>
      <c r="B11" s="187" t="s">
        <v>624</v>
      </c>
      <c r="C11" s="85" t="s">
        <v>647</v>
      </c>
      <c r="D11" s="86" t="s">
        <v>466</v>
      </c>
      <c r="E11" s="37" t="s">
        <v>648</v>
      </c>
      <c r="F11" s="37" t="s">
        <v>642</v>
      </c>
      <c r="G11" s="37" t="s">
        <v>57</v>
      </c>
      <c r="H11" s="38" t="s">
        <v>627</v>
      </c>
      <c r="I11" s="30" t="s">
        <v>649</v>
      </c>
      <c r="J11" s="32" t="s">
        <v>650</v>
      </c>
      <c r="K11" s="31" t="s">
        <v>200</v>
      </c>
      <c r="L11" s="159" t="s">
        <v>651</v>
      </c>
    </row>
    <row r="12" spans="1:36" s="128" customFormat="1" ht="15" customHeight="1">
      <c r="A12" s="164" t="s">
        <v>652</v>
      </c>
      <c r="B12" s="187" t="s">
        <v>624</v>
      </c>
      <c r="C12" s="129" t="s">
        <v>647</v>
      </c>
      <c r="D12" s="121" t="s">
        <v>466</v>
      </c>
      <c r="E12" s="122" t="s">
        <v>634</v>
      </c>
      <c r="F12" s="122" t="s">
        <v>642</v>
      </c>
      <c r="G12" s="122" t="s">
        <v>653</v>
      </c>
      <c r="H12" s="146" t="s">
        <v>654</v>
      </c>
      <c r="I12" s="149" t="s">
        <v>655</v>
      </c>
      <c r="J12" s="145" t="s">
        <v>656</v>
      </c>
      <c r="K12" s="31" t="s">
        <v>40</v>
      </c>
      <c r="L12" s="135" t="s">
        <v>657</v>
      </c>
    </row>
    <row r="13" spans="1:36" s="115" customFormat="1" ht="15" customHeight="1">
      <c r="A13" s="162" t="s">
        <v>658</v>
      </c>
      <c r="B13" s="187" t="s">
        <v>624</v>
      </c>
      <c r="C13" s="173" t="s">
        <v>640</v>
      </c>
      <c r="D13" s="157" t="s">
        <v>223</v>
      </c>
      <c r="E13" s="155" t="s">
        <v>634</v>
      </c>
      <c r="F13" s="176" t="s">
        <v>642</v>
      </c>
      <c r="G13" s="155" t="s">
        <v>80</v>
      </c>
      <c r="H13" s="123" t="s">
        <v>627</v>
      </c>
      <c r="I13" s="176" t="s">
        <v>659</v>
      </c>
      <c r="J13" s="176" t="s">
        <v>660</v>
      </c>
      <c r="K13" s="31" t="s">
        <v>40</v>
      </c>
      <c r="L13" s="176" t="s">
        <v>630</v>
      </c>
    </row>
    <row r="14" spans="1:36" s="128" customFormat="1" ht="15" customHeight="1">
      <c r="A14" s="162" t="s">
        <v>661</v>
      </c>
      <c r="B14" s="187" t="s">
        <v>624</v>
      </c>
      <c r="C14" s="120" t="s">
        <v>647</v>
      </c>
      <c r="D14" s="121" t="s">
        <v>223</v>
      </c>
      <c r="E14" s="122" t="s">
        <v>662</v>
      </c>
      <c r="F14" s="176" t="s">
        <v>642</v>
      </c>
      <c r="G14" s="122" t="s">
        <v>57</v>
      </c>
      <c r="H14" s="146" t="s">
        <v>627</v>
      </c>
      <c r="I14" s="124" t="s">
        <v>663</v>
      </c>
      <c r="J14" s="125" t="s">
        <v>664</v>
      </c>
      <c r="K14" s="31" t="s">
        <v>40</v>
      </c>
      <c r="L14" s="126" t="s">
        <v>665</v>
      </c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36" s="128" customFormat="1" ht="15" customHeight="1">
      <c r="A15" s="163" t="s">
        <v>666</v>
      </c>
      <c r="B15" s="187" t="s">
        <v>624</v>
      </c>
      <c r="C15" s="129" t="s">
        <v>647</v>
      </c>
      <c r="D15" s="121" t="s">
        <v>223</v>
      </c>
      <c r="E15" s="130" t="s">
        <v>667</v>
      </c>
      <c r="F15" s="130" t="s">
        <v>642</v>
      </c>
      <c r="G15" s="130" t="s">
        <v>80</v>
      </c>
      <c r="H15" s="131" t="s">
        <v>654</v>
      </c>
      <c r="I15" s="132" t="s">
        <v>655</v>
      </c>
      <c r="J15" s="176" t="s">
        <v>668</v>
      </c>
      <c r="K15" s="31" t="s">
        <v>40</v>
      </c>
      <c r="L15" s="133" t="s">
        <v>665</v>
      </c>
    </row>
    <row r="16" spans="1:36" s="128" customFormat="1" ht="15" customHeight="1">
      <c r="A16" s="163" t="s">
        <v>669</v>
      </c>
      <c r="B16" s="187" t="s">
        <v>624</v>
      </c>
      <c r="C16" s="129" t="s">
        <v>640</v>
      </c>
      <c r="D16" s="175" t="s">
        <v>223</v>
      </c>
      <c r="E16" s="130" t="s">
        <v>634</v>
      </c>
      <c r="F16" s="130" t="s">
        <v>642</v>
      </c>
      <c r="G16" s="134" t="s">
        <v>670</v>
      </c>
      <c r="H16" s="131" t="s">
        <v>671</v>
      </c>
      <c r="I16" s="185" t="s">
        <v>626</v>
      </c>
      <c r="J16" s="154" t="s">
        <v>672</v>
      </c>
      <c r="K16" s="31" t="s">
        <v>40</v>
      </c>
      <c r="L16" s="176" t="s">
        <v>673</v>
      </c>
    </row>
    <row r="17" spans="1:12" s="128" customFormat="1" ht="15" customHeight="1">
      <c r="A17" s="163" t="s">
        <v>674</v>
      </c>
      <c r="B17" s="187" t="s">
        <v>624</v>
      </c>
      <c r="C17" s="141" t="s">
        <v>675</v>
      </c>
      <c r="D17" s="175" t="s">
        <v>223</v>
      </c>
      <c r="E17" s="130" t="s">
        <v>634</v>
      </c>
      <c r="F17" s="130" t="s">
        <v>642</v>
      </c>
      <c r="G17" s="134" t="s">
        <v>676</v>
      </c>
      <c r="H17" s="131" t="s">
        <v>677</v>
      </c>
      <c r="I17" s="177" t="s">
        <v>659</v>
      </c>
      <c r="J17" s="179" t="s">
        <v>678</v>
      </c>
      <c r="K17" s="31" t="s">
        <v>40</v>
      </c>
      <c r="L17" s="135" t="s">
        <v>630</v>
      </c>
    </row>
    <row r="18" spans="1:12" s="128" customFormat="1" ht="15" customHeight="1">
      <c r="A18" s="163" t="s">
        <v>679</v>
      </c>
      <c r="B18" s="187" t="s">
        <v>624</v>
      </c>
      <c r="C18" s="129" t="s">
        <v>640</v>
      </c>
      <c r="D18" s="136" t="s">
        <v>44</v>
      </c>
      <c r="E18" s="130" t="s">
        <v>634</v>
      </c>
      <c r="F18" s="130" t="s">
        <v>642</v>
      </c>
      <c r="G18" s="130" t="s">
        <v>80</v>
      </c>
      <c r="H18" s="137" t="s">
        <v>627</v>
      </c>
      <c r="I18" s="138" t="s">
        <v>680</v>
      </c>
      <c r="J18" s="139" t="s">
        <v>636</v>
      </c>
      <c r="K18" s="31" t="s">
        <v>40</v>
      </c>
      <c r="L18" s="135" t="s">
        <v>681</v>
      </c>
    </row>
    <row r="19" spans="1:12" s="128" customFormat="1" ht="15" customHeight="1">
      <c r="A19" s="163" t="s">
        <v>682</v>
      </c>
      <c r="B19" s="187" t="s">
        <v>624</v>
      </c>
      <c r="C19" s="129" t="s">
        <v>647</v>
      </c>
      <c r="D19" s="136" t="s">
        <v>44</v>
      </c>
      <c r="E19" s="130" t="s">
        <v>662</v>
      </c>
      <c r="F19" s="130" t="s">
        <v>683</v>
      </c>
      <c r="G19" s="130" t="s">
        <v>57</v>
      </c>
      <c r="H19" s="137" t="s">
        <v>627</v>
      </c>
      <c r="I19" s="138" t="s">
        <v>684</v>
      </c>
      <c r="J19" s="139" t="s">
        <v>684</v>
      </c>
      <c r="K19" s="31" t="s">
        <v>200</v>
      </c>
      <c r="L19" s="135" t="s">
        <v>685</v>
      </c>
    </row>
    <row r="20" spans="1:12" s="128" customFormat="1" ht="15" customHeight="1">
      <c r="A20" s="163" t="s">
        <v>686</v>
      </c>
      <c r="B20" s="187" t="s">
        <v>624</v>
      </c>
      <c r="C20" s="129" t="s">
        <v>647</v>
      </c>
      <c r="D20" s="175" t="s">
        <v>44</v>
      </c>
      <c r="E20" s="130" t="s">
        <v>667</v>
      </c>
      <c r="F20" s="130" t="s">
        <v>642</v>
      </c>
      <c r="G20" s="130" t="s">
        <v>653</v>
      </c>
      <c r="H20" s="131" t="s">
        <v>654</v>
      </c>
      <c r="I20" s="138" t="s">
        <v>655</v>
      </c>
      <c r="J20" s="179" t="s">
        <v>687</v>
      </c>
      <c r="K20" s="31" t="s">
        <v>40</v>
      </c>
      <c r="L20" s="135" t="s">
        <v>665</v>
      </c>
    </row>
    <row r="21" spans="1:12" s="128" customFormat="1" ht="15" customHeight="1">
      <c r="A21" s="163" t="s">
        <v>688</v>
      </c>
      <c r="B21" s="187" t="s">
        <v>624</v>
      </c>
      <c r="C21" s="141" t="s">
        <v>675</v>
      </c>
      <c r="D21" s="175" t="s">
        <v>44</v>
      </c>
      <c r="E21" s="134" t="s">
        <v>634</v>
      </c>
      <c r="F21" s="134" t="s">
        <v>689</v>
      </c>
      <c r="G21" s="134" t="s">
        <v>676</v>
      </c>
      <c r="H21" s="131" t="s">
        <v>677</v>
      </c>
      <c r="I21" s="177" t="s">
        <v>690</v>
      </c>
      <c r="J21" s="179" t="s">
        <v>691</v>
      </c>
      <c r="K21" s="31" t="s">
        <v>40</v>
      </c>
      <c r="L21" s="135" t="s">
        <v>630</v>
      </c>
    </row>
    <row r="22" spans="1:12" s="128" customFormat="1" ht="15" customHeight="1">
      <c r="A22" s="164" t="s">
        <v>692</v>
      </c>
      <c r="B22" s="187" t="s">
        <v>624</v>
      </c>
      <c r="C22" s="129" t="s">
        <v>640</v>
      </c>
      <c r="D22" s="121" t="s">
        <v>693</v>
      </c>
      <c r="E22" s="130" t="s">
        <v>634</v>
      </c>
      <c r="F22" s="130" t="s">
        <v>683</v>
      </c>
      <c r="G22" s="130" t="s">
        <v>80</v>
      </c>
      <c r="H22" s="123" t="s">
        <v>627</v>
      </c>
      <c r="I22" s="138" t="s">
        <v>680</v>
      </c>
      <c r="J22" s="139" t="s">
        <v>694</v>
      </c>
      <c r="K22" s="31" t="s">
        <v>40</v>
      </c>
      <c r="L22" s="126" t="s">
        <v>681</v>
      </c>
    </row>
    <row r="23" spans="1:12" s="128" customFormat="1" ht="15" customHeight="1">
      <c r="A23" s="164" t="s">
        <v>695</v>
      </c>
      <c r="B23" s="187" t="s">
        <v>624</v>
      </c>
      <c r="C23" s="129" t="s">
        <v>647</v>
      </c>
      <c r="D23" s="121" t="s">
        <v>693</v>
      </c>
      <c r="E23" s="122" t="s">
        <v>662</v>
      </c>
      <c r="F23" s="122" t="s">
        <v>696</v>
      </c>
      <c r="G23" s="148" t="s">
        <v>57</v>
      </c>
      <c r="H23" s="123" t="s">
        <v>627</v>
      </c>
      <c r="I23" s="138" t="s">
        <v>684</v>
      </c>
      <c r="J23" s="145" t="s">
        <v>697</v>
      </c>
      <c r="K23" s="31" t="s">
        <v>200</v>
      </c>
      <c r="L23" s="135" t="s">
        <v>685</v>
      </c>
    </row>
    <row r="24" spans="1:12" s="128" customFormat="1" ht="15" customHeight="1">
      <c r="A24" s="164" t="s">
        <v>698</v>
      </c>
      <c r="B24" s="187" t="s">
        <v>624</v>
      </c>
      <c r="C24" s="129" t="s">
        <v>647</v>
      </c>
      <c r="D24" s="121" t="s">
        <v>693</v>
      </c>
      <c r="E24" s="122" t="s">
        <v>667</v>
      </c>
      <c r="F24" s="122" t="s">
        <v>696</v>
      </c>
      <c r="G24" s="122" t="s">
        <v>653</v>
      </c>
      <c r="H24" s="146" t="s">
        <v>654</v>
      </c>
      <c r="I24" s="138" t="s">
        <v>655</v>
      </c>
      <c r="J24" s="145" t="s">
        <v>699</v>
      </c>
      <c r="K24" s="31" t="s">
        <v>40</v>
      </c>
      <c r="L24" s="135" t="s">
        <v>700</v>
      </c>
    </row>
    <row r="25" spans="1:12" s="128" customFormat="1" ht="15" customHeight="1">
      <c r="A25" s="164" t="s">
        <v>701</v>
      </c>
      <c r="B25" s="187" t="s">
        <v>624</v>
      </c>
      <c r="C25" s="129" t="s">
        <v>640</v>
      </c>
      <c r="D25" s="142" t="s">
        <v>693</v>
      </c>
      <c r="E25" s="147" t="s">
        <v>702</v>
      </c>
      <c r="F25" s="148" t="s">
        <v>683</v>
      </c>
      <c r="G25" s="148" t="s">
        <v>676</v>
      </c>
      <c r="H25" s="146" t="s">
        <v>703</v>
      </c>
      <c r="I25" s="143" t="s">
        <v>684</v>
      </c>
      <c r="J25" s="144" t="s">
        <v>704</v>
      </c>
      <c r="K25" s="31" t="s">
        <v>40</v>
      </c>
      <c r="L25" s="135" t="s">
        <v>685</v>
      </c>
    </row>
    <row r="26" spans="1:12" s="128" customFormat="1" ht="15" customHeight="1">
      <c r="A26" s="164" t="s">
        <v>705</v>
      </c>
      <c r="B26" s="187" t="s">
        <v>624</v>
      </c>
      <c r="C26" s="141" t="s">
        <v>675</v>
      </c>
      <c r="D26" s="142" t="s">
        <v>693</v>
      </c>
      <c r="E26" s="147" t="s">
        <v>706</v>
      </c>
      <c r="F26" s="148" t="s">
        <v>683</v>
      </c>
      <c r="G26" s="148" t="s">
        <v>676</v>
      </c>
      <c r="H26" s="146" t="s">
        <v>677</v>
      </c>
      <c r="I26" s="143" t="s">
        <v>690</v>
      </c>
      <c r="J26" s="154" t="s">
        <v>707</v>
      </c>
      <c r="K26" s="31" t="s">
        <v>40</v>
      </c>
      <c r="L26" s="135" t="s">
        <v>685</v>
      </c>
    </row>
    <row r="27" spans="1:12" s="128" customFormat="1" ht="15" customHeight="1">
      <c r="A27" s="164" t="s">
        <v>708</v>
      </c>
      <c r="B27" s="187" t="s">
        <v>624</v>
      </c>
      <c r="C27" s="129" t="s">
        <v>640</v>
      </c>
      <c r="D27" s="121" t="s">
        <v>690</v>
      </c>
      <c r="E27" s="122" t="s">
        <v>634</v>
      </c>
      <c r="F27" s="122" t="s">
        <v>696</v>
      </c>
      <c r="G27" s="122" t="s">
        <v>80</v>
      </c>
      <c r="H27" s="123" t="s">
        <v>627</v>
      </c>
      <c r="I27" s="149" t="s">
        <v>680</v>
      </c>
      <c r="J27" s="176" t="s">
        <v>694</v>
      </c>
      <c r="K27" s="31" t="s">
        <v>40</v>
      </c>
      <c r="L27" s="135" t="s">
        <v>681</v>
      </c>
    </row>
    <row r="28" spans="1:12" s="128" customFormat="1" ht="15" customHeight="1">
      <c r="A28" s="164" t="s">
        <v>709</v>
      </c>
      <c r="B28" s="187" t="s">
        <v>624</v>
      </c>
      <c r="C28" s="129" t="s">
        <v>647</v>
      </c>
      <c r="D28" s="142" t="s">
        <v>690</v>
      </c>
      <c r="E28" s="134" t="s">
        <v>648</v>
      </c>
      <c r="F28" s="130" t="s">
        <v>710</v>
      </c>
      <c r="G28" s="148" t="s">
        <v>57</v>
      </c>
      <c r="H28" s="123" t="s">
        <v>627</v>
      </c>
      <c r="I28" s="150" t="s">
        <v>711</v>
      </c>
      <c r="J28" s="176" t="s">
        <v>712</v>
      </c>
      <c r="K28" s="31" t="s">
        <v>200</v>
      </c>
      <c r="L28" s="135" t="s">
        <v>651</v>
      </c>
    </row>
    <row r="29" spans="1:12" s="128" customFormat="1" ht="15" customHeight="1">
      <c r="A29" s="164" t="s">
        <v>713</v>
      </c>
      <c r="B29" s="187" t="s">
        <v>624</v>
      </c>
      <c r="C29" s="129" t="s">
        <v>647</v>
      </c>
      <c r="D29" s="142" t="s">
        <v>690</v>
      </c>
      <c r="E29" s="130" t="s">
        <v>667</v>
      </c>
      <c r="F29" s="130" t="s">
        <v>696</v>
      </c>
      <c r="G29" s="122" t="s">
        <v>653</v>
      </c>
      <c r="H29" s="146" t="s">
        <v>654</v>
      </c>
      <c r="I29" s="149" t="s">
        <v>655</v>
      </c>
      <c r="J29" s="145" t="s">
        <v>714</v>
      </c>
      <c r="K29" s="31" t="s">
        <v>40</v>
      </c>
      <c r="L29" s="135" t="s">
        <v>700</v>
      </c>
    </row>
    <row r="30" spans="1:12" s="128" customFormat="1" ht="15" customHeight="1">
      <c r="A30" s="164" t="s">
        <v>715</v>
      </c>
      <c r="B30" s="187" t="s">
        <v>624</v>
      </c>
      <c r="C30" s="129" t="s">
        <v>640</v>
      </c>
      <c r="D30" s="142" t="s">
        <v>690</v>
      </c>
      <c r="E30" s="134" t="s">
        <v>634</v>
      </c>
      <c r="F30" s="130" t="s">
        <v>696</v>
      </c>
      <c r="G30" s="148" t="s">
        <v>676</v>
      </c>
      <c r="H30" s="146" t="s">
        <v>703</v>
      </c>
      <c r="I30" s="150" t="s">
        <v>649</v>
      </c>
      <c r="J30" s="145" t="s">
        <v>716</v>
      </c>
      <c r="K30" s="31" t="s">
        <v>40</v>
      </c>
      <c r="L30" s="135"/>
    </row>
    <row r="31" spans="1:12" s="128" customFormat="1" ht="15" customHeight="1">
      <c r="A31" s="164" t="s">
        <v>717</v>
      </c>
      <c r="B31" s="187" t="s">
        <v>624</v>
      </c>
      <c r="C31" s="141" t="s">
        <v>675</v>
      </c>
      <c r="D31" s="142" t="s">
        <v>690</v>
      </c>
      <c r="E31" s="158" t="s">
        <v>706</v>
      </c>
      <c r="F31" s="130" t="s">
        <v>696</v>
      </c>
      <c r="G31" s="148" t="s">
        <v>676</v>
      </c>
      <c r="H31" s="146" t="s">
        <v>677</v>
      </c>
      <c r="I31" s="150" t="s">
        <v>690</v>
      </c>
      <c r="J31" s="145" t="s">
        <v>718</v>
      </c>
      <c r="K31" s="31" t="s">
        <v>40</v>
      </c>
      <c r="L31" s="135" t="s">
        <v>685</v>
      </c>
    </row>
    <row r="32" spans="1:12" s="128" customFormat="1" ht="15" customHeight="1">
      <c r="A32" s="164" t="s">
        <v>719</v>
      </c>
      <c r="B32" s="187" t="s">
        <v>624</v>
      </c>
      <c r="C32" s="129" t="s">
        <v>647</v>
      </c>
      <c r="D32" s="142" t="s">
        <v>626</v>
      </c>
      <c r="E32" s="122" t="s">
        <v>634</v>
      </c>
      <c r="F32" s="155" t="s">
        <v>710</v>
      </c>
      <c r="G32" s="122" t="s">
        <v>653</v>
      </c>
      <c r="H32" s="146" t="s">
        <v>654</v>
      </c>
      <c r="I32" s="156" t="s">
        <v>720</v>
      </c>
      <c r="J32" s="154" t="s">
        <v>721</v>
      </c>
      <c r="K32" s="31" t="s">
        <v>40</v>
      </c>
      <c r="L32" s="135" t="s">
        <v>665</v>
      </c>
    </row>
    <row r="33" spans="1:12" s="128" customFormat="1" ht="15" customHeight="1">
      <c r="A33" s="164" t="s">
        <v>722</v>
      </c>
      <c r="B33" s="187" t="s">
        <v>624</v>
      </c>
      <c r="C33" s="141" t="s">
        <v>640</v>
      </c>
      <c r="D33" s="142" t="s">
        <v>626</v>
      </c>
      <c r="E33" s="148" t="s">
        <v>634</v>
      </c>
      <c r="F33" s="151" t="s">
        <v>723</v>
      </c>
      <c r="G33" s="148" t="s">
        <v>724</v>
      </c>
      <c r="H33" s="146" t="s">
        <v>725</v>
      </c>
      <c r="I33" s="178" t="s">
        <v>726</v>
      </c>
      <c r="J33" s="176" t="s">
        <v>727</v>
      </c>
      <c r="K33" s="31" t="s">
        <v>40</v>
      </c>
      <c r="L33" s="135" t="s">
        <v>681</v>
      </c>
    </row>
    <row r="34" spans="1:12" s="128" customFormat="1" ht="15" customHeight="1">
      <c r="A34" s="164" t="s">
        <v>728</v>
      </c>
      <c r="B34" s="187" t="s">
        <v>624</v>
      </c>
      <c r="C34" s="141" t="s">
        <v>675</v>
      </c>
      <c r="D34" s="142" t="s">
        <v>626</v>
      </c>
      <c r="E34" s="148" t="s">
        <v>634</v>
      </c>
      <c r="F34" s="151" t="s">
        <v>710</v>
      </c>
      <c r="G34" s="148" t="s">
        <v>676</v>
      </c>
      <c r="H34" s="146" t="s">
        <v>677</v>
      </c>
      <c r="I34" s="178" t="s">
        <v>690</v>
      </c>
      <c r="J34" s="176" t="s">
        <v>729</v>
      </c>
      <c r="K34" s="31" t="s">
        <v>40</v>
      </c>
      <c r="L34" s="135" t="s">
        <v>685</v>
      </c>
    </row>
    <row r="35" spans="1:12" s="128" customFormat="1" ht="15" customHeight="1">
      <c r="A35" s="152" t="s">
        <v>730</v>
      </c>
      <c r="B35" s="187" t="s">
        <v>624</v>
      </c>
      <c r="C35" s="160" t="s">
        <v>675</v>
      </c>
      <c r="D35" s="142" t="s">
        <v>731</v>
      </c>
      <c r="E35" s="148" t="s">
        <v>732</v>
      </c>
      <c r="F35" s="148" t="s">
        <v>733</v>
      </c>
      <c r="G35" s="148" t="s">
        <v>676</v>
      </c>
      <c r="H35" s="146" t="s">
        <v>677</v>
      </c>
      <c r="I35" s="149" t="s">
        <v>734</v>
      </c>
      <c r="J35" s="145">
        <v>74.8</v>
      </c>
      <c r="K35" s="31" t="s">
        <v>40</v>
      </c>
      <c r="L35" s="135" t="s">
        <v>685</v>
      </c>
    </row>
    <row r="36" spans="1:12" s="128" customFormat="1" ht="15" customHeight="1">
      <c r="A36" s="140"/>
      <c r="B36" s="153"/>
      <c r="C36" s="153"/>
      <c r="D36" s="142"/>
      <c r="E36" s="148"/>
      <c r="F36" s="148"/>
      <c r="G36" s="148"/>
      <c r="H36" s="146"/>
      <c r="I36" s="143"/>
      <c r="J36" s="144"/>
      <c r="K36" s="154"/>
      <c r="L36" s="135"/>
    </row>
    <row r="37" spans="1:12" ht="15" customHeight="1">
      <c r="A37" s="9"/>
      <c r="B37" s="50"/>
      <c r="C37" s="50"/>
      <c r="D37" s="40"/>
      <c r="E37" s="37"/>
      <c r="F37" s="37"/>
      <c r="G37" s="37"/>
      <c r="H37" s="11"/>
      <c r="I37" s="30"/>
      <c r="J37" s="32"/>
      <c r="K37" s="31"/>
      <c r="L37" s="28"/>
    </row>
    <row r="38" spans="1:12" ht="15" customHeight="1">
      <c r="A38" s="9"/>
      <c r="B38" s="50"/>
      <c r="C38" s="50"/>
      <c r="D38" s="40"/>
      <c r="E38" s="37"/>
      <c r="F38" s="37"/>
      <c r="G38" s="37"/>
      <c r="H38" s="11"/>
      <c r="I38" s="30"/>
      <c r="J38" s="32"/>
      <c r="K38" s="31"/>
      <c r="L38" s="28"/>
    </row>
    <row r="39" spans="1:12" ht="15" customHeight="1">
      <c r="A39" s="9"/>
      <c r="B39" s="50"/>
      <c r="C39" s="50"/>
      <c r="D39" s="40"/>
      <c r="E39" s="37"/>
      <c r="F39" s="37"/>
      <c r="G39" s="37"/>
      <c r="H39" s="11"/>
      <c r="I39" s="30"/>
      <c r="J39" s="32"/>
      <c r="K39" s="31"/>
      <c r="L39" s="28"/>
    </row>
    <row r="40" spans="1:12" ht="15" customHeight="1">
      <c r="A40" s="8"/>
      <c r="B40" s="51"/>
      <c r="C40" s="51"/>
      <c r="D40" s="40"/>
      <c r="E40" s="37"/>
      <c r="F40" s="37"/>
      <c r="G40" s="37"/>
      <c r="H40" s="11"/>
      <c r="I40" s="30"/>
      <c r="J40" s="32"/>
      <c r="K40" s="31"/>
      <c r="L40" s="28"/>
    </row>
    <row r="41" spans="1:12" ht="15" customHeight="1">
      <c r="A41" s="9"/>
      <c r="B41" s="50"/>
      <c r="C41" s="50"/>
      <c r="D41" s="40"/>
      <c r="E41" s="37"/>
      <c r="F41" s="37"/>
      <c r="G41" s="37"/>
      <c r="H41" s="11"/>
      <c r="I41" s="30"/>
      <c r="J41" s="32"/>
      <c r="K41" s="31"/>
      <c r="L41" s="28"/>
    </row>
    <row r="42" spans="1:12" ht="15" customHeight="1">
      <c r="A42" s="8"/>
      <c r="B42" s="51"/>
      <c r="C42" s="51"/>
      <c r="D42" s="40"/>
      <c r="E42" s="37"/>
      <c r="F42" s="37"/>
      <c r="G42" s="37"/>
      <c r="H42" s="11"/>
      <c r="I42" s="30"/>
      <c r="J42" s="32"/>
      <c r="K42" s="31"/>
      <c r="L42" s="28"/>
    </row>
    <row r="43" spans="1:12" ht="15" customHeight="1">
      <c r="A43" s="8"/>
      <c r="B43" s="51"/>
      <c r="C43" s="51"/>
      <c r="D43" s="40"/>
      <c r="E43" s="37"/>
      <c r="F43" s="37"/>
      <c r="G43" s="37"/>
      <c r="H43" s="11"/>
      <c r="I43" s="30"/>
      <c r="J43" s="32"/>
      <c r="K43" s="31"/>
      <c r="L43" s="28"/>
    </row>
    <row r="44" spans="1:12" ht="15" customHeight="1">
      <c r="A44" s="9"/>
      <c r="B44" s="50"/>
      <c r="C44" s="50"/>
      <c r="D44" s="40"/>
      <c r="E44" s="37"/>
      <c r="F44" s="37"/>
      <c r="G44" s="37"/>
      <c r="H44" s="11"/>
      <c r="I44" s="30"/>
      <c r="J44" s="32"/>
      <c r="K44" s="31"/>
      <c r="L44" s="28"/>
    </row>
    <row r="45" spans="1:12" ht="15" customHeight="1">
      <c r="A45" s="8"/>
      <c r="B45" s="51"/>
      <c r="C45" s="51"/>
      <c r="D45" s="40"/>
      <c r="E45" s="37"/>
      <c r="F45" s="37"/>
      <c r="G45" s="37"/>
      <c r="H45" s="11"/>
      <c r="I45" s="30"/>
      <c r="J45" s="32"/>
      <c r="K45" s="31"/>
      <c r="L45" s="28"/>
    </row>
    <row r="46" spans="1:12" ht="15" customHeight="1">
      <c r="A46" s="8"/>
      <c r="B46" s="51"/>
      <c r="C46" s="51"/>
      <c r="D46" s="40"/>
      <c r="E46" s="37"/>
      <c r="F46" s="37"/>
      <c r="G46" s="37"/>
      <c r="H46" s="11"/>
      <c r="I46" s="30"/>
      <c r="J46" s="32"/>
      <c r="K46" s="31"/>
      <c r="L46" s="28"/>
    </row>
    <row r="47" spans="1:12" ht="15" customHeight="1">
      <c r="A47" s="9"/>
      <c r="B47" s="50"/>
      <c r="C47" s="50"/>
      <c r="D47" s="40"/>
      <c r="E47" s="37"/>
      <c r="F47" s="37"/>
      <c r="G47" s="37"/>
      <c r="H47" s="11"/>
      <c r="I47" s="30"/>
      <c r="J47" s="32"/>
      <c r="K47" s="31"/>
      <c r="L47" s="28"/>
    </row>
    <row r="48" spans="1:12" ht="15" customHeight="1">
      <c r="A48" s="9"/>
      <c r="B48" s="50"/>
      <c r="C48" s="50"/>
      <c r="D48" s="40"/>
      <c r="E48" s="37"/>
      <c r="F48" s="37"/>
      <c r="G48" s="37"/>
      <c r="H48" s="11"/>
      <c r="I48" s="30"/>
      <c r="J48" s="32"/>
      <c r="K48" s="31"/>
      <c r="L48" s="28"/>
    </row>
    <row r="49" spans="1:12" ht="15" customHeight="1">
      <c r="A49" s="9"/>
      <c r="B49" s="50"/>
      <c r="C49" s="50"/>
      <c r="D49" s="40"/>
      <c r="E49" s="37"/>
      <c r="F49" s="37"/>
      <c r="G49" s="37"/>
      <c r="H49" s="11"/>
      <c r="I49" s="30"/>
      <c r="J49" s="32"/>
      <c r="K49" s="31"/>
      <c r="L49" s="28"/>
    </row>
    <row r="50" spans="1:12" ht="15" customHeight="1">
      <c r="A50" s="9"/>
      <c r="B50" s="50"/>
      <c r="C50" s="50"/>
      <c r="D50" s="40"/>
      <c r="E50" s="37"/>
      <c r="F50" s="37"/>
      <c r="G50" s="37"/>
      <c r="H50" s="11"/>
      <c r="I50" s="30"/>
      <c r="J50" s="32"/>
      <c r="K50" s="31"/>
      <c r="L50" s="28"/>
    </row>
    <row r="51" spans="1:12" ht="15" customHeight="1">
      <c r="A51" s="8"/>
      <c r="B51" s="51"/>
      <c r="C51" s="51"/>
      <c r="D51" s="40"/>
      <c r="E51" s="37"/>
      <c r="F51" s="37"/>
      <c r="G51" s="37"/>
      <c r="H51" s="11"/>
      <c r="I51" s="30"/>
      <c r="J51" s="32"/>
      <c r="K51" s="31"/>
      <c r="L51" s="28"/>
    </row>
    <row r="52" spans="1:12" ht="15" customHeight="1">
      <c r="A52" s="8"/>
      <c r="B52" s="51"/>
      <c r="C52" s="51"/>
      <c r="D52" s="40"/>
      <c r="E52" s="37"/>
      <c r="F52" s="37"/>
      <c r="G52" s="37"/>
      <c r="H52" s="11"/>
      <c r="I52" s="30"/>
      <c r="J52" s="32"/>
      <c r="K52" s="31"/>
      <c r="L52" s="28"/>
    </row>
    <row r="53" spans="1:12" ht="15" customHeight="1">
      <c r="A53" s="8"/>
      <c r="B53" s="51"/>
      <c r="C53" s="51"/>
      <c r="D53" s="40"/>
      <c r="E53" s="37"/>
      <c r="F53" s="37"/>
      <c r="G53" s="37"/>
      <c r="H53" s="11"/>
      <c r="I53" s="30"/>
      <c r="J53" s="32"/>
      <c r="K53" s="31"/>
      <c r="L53" s="28"/>
    </row>
    <row r="54" spans="1:12" ht="15" customHeight="1">
      <c r="A54" s="9"/>
      <c r="B54" s="50"/>
      <c r="C54" s="50"/>
      <c r="D54" s="40"/>
      <c r="E54" s="37"/>
      <c r="F54" s="37"/>
      <c r="G54" s="37"/>
      <c r="H54" s="11"/>
      <c r="I54" s="30"/>
      <c r="J54" s="32"/>
      <c r="K54" s="31"/>
      <c r="L54" s="28"/>
    </row>
    <row r="55" spans="1:12" ht="15" customHeight="1">
      <c r="A55" s="9"/>
      <c r="B55" s="50"/>
      <c r="C55" s="50"/>
      <c r="D55" s="40"/>
      <c r="E55" s="37"/>
      <c r="F55" s="37"/>
      <c r="G55" s="37"/>
      <c r="H55" s="11"/>
      <c r="I55" s="46"/>
      <c r="J55" s="31"/>
      <c r="K55" s="31"/>
      <c r="L55" s="28"/>
    </row>
    <row r="56" spans="1:12" ht="15" customHeight="1">
      <c r="A56" s="9"/>
      <c r="B56" s="50"/>
      <c r="C56" s="50"/>
      <c r="D56" s="40"/>
      <c r="E56" s="37"/>
      <c r="F56" s="37"/>
      <c r="G56" s="37"/>
      <c r="H56" s="11"/>
      <c r="I56" s="30"/>
      <c r="J56" s="32"/>
      <c r="K56" s="31"/>
      <c r="L56" s="28"/>
    </row>
    <row r="57" spans="1:12" ht="15" customHeight="1">
      <c r="A57" s="8"/>
      <c r="B57" s="51"/>
      <c r="C57" s="51"/>
      <c r="D57" s="40"/>
      <c r="E57" s="37"/>
      <c r="F57" s="37"/>
      <c r="G57" s="37"/>
      <c r="H57" s="11"/>
      <c r="I57" s="30"/>
      <c r="J57" s="32"/>
      <c r="K57" s="31"/>
      <c r="L57" s="28"/>
    </row>
    <row r="58" spans="1:12" ht="15" customHeight="1">
      <c r="A58" s="8"/>
      <c r="B58" s="51"/>
      <c r="C58" s="51"/>
      <c r="D58" s="40"/>
      <c r="E58" s="37"/>
      <c r="F58" s="37"/>
      <c r="G58" s="37"/>
      <c r="H58" s="11"/>
      <c r="I58" s="30"/>
      <c r="J58" s="32"/>
      <c r="K58" s="31"/>
      <c r="L58" s="28"/>
    </row>
    <row r="59" spans="1:12" ht="15" customHeight="1">
      <c r="A59" s="9"/>
      <c r="B59" s="50"/>
      <c r="C59" s="50"/>
      <c r="D59" s="40"/>
      <c r="E59" s="37"/>
      <c r="F59" s="37"/>
      <c r="G59" s="37"/>
      <c r="H59" s="11"/>
      <c r="I59" s="30"/>
      <c r="J59" s="32"/>
      <c r="K59" s="31"/>
      <c r="L59" s="28"/>
    </row>
    <row r="60" spans="1:12" ht="15" customHeight="1">
      <c r="A60" s="9"/>
      <c r="B60" s="50"/>
      <c r="C60" s="50"/>
      <c r="D60" s="40"/>
      <c r="E60" s="37"/>
      <c r="F60" s="37"/>
      <c r="G60" s="37"/>
      <c r="H60" s="11"/>
      <c r="I60" s="30"/>
      <c r="J60" s="32"/>
      <c r="K60" s="31"/>
      <c r="L60" s="28"/>
    </row>
    <row r="61" spans="1:12" ht="15" customHeight="1">
      <c r="A61" s="9"/>
      <c r="B61" s="50"/>
      <c r="C61" s="50"/>
      <c r="D61" s="40"/>
      <c r="E61" s="37"/>
      <c r="F61" s="37"/>
      <c r="G61" s="37"/>
      <c r="H61" s="11"/>
      <c r="I61" s="30"/>
      <c r="J61" s="32"/>
      <c r="K61" s="31"/>
      <c r="L61" s="28"/>
    </row>
    <row r="62" spans="1:12" ht="15" customHeight="1">
      <c r="A62" s="9"/>
      <c r="B62" s="50"/>
      <c r="C62" s="50"/>
      <c r="D62" s="40"/>
      <c r="E62" s="37"/>
      <c r="F62" s="37"/>
      <c r="G62" s="37"/>
      <c r="H62" s="11"/>
      <c r="I62" s="30"/>
      <c r="J62" s="32"/>
      <c r="K62" s="31"/>
      <c r="L62" s="28"/>
    </row>
    <row r="63" spans="1:12" ht="15" customHeight="1">
      <c r="A63" s="8"/>
      <c r="B63" s="51"/>
      <c r="C63" s="51"/>
      <c r="D63" s="40"/>
      <c r="E63" s="37"/>
      <c r="F63" s="37"/>
      <c r="G63" s="37"/>
      <c r="H63" s="11"/>
      <c r="I63" s="30"/>
      <c r="J63" s="32"/>
      <c r="K63" s="31"/>
      <c r="L63" s="28"/>
    </row>
    <row r="64" spans="1:12" ht="15" customHeight="1">
      <c r="A64" s="8"/>
      <c r="B64" s="51"/>
      <c r="C64" s="51"/>
      <c r="D64" s="40"/>
      <c r="E64" s="42"/>
      <c r="F64" s="42"/>
      <c r="G64" s="42"/>
      <c r="H64" s="13"/>
      <c r="I64" s="45"/>
      <c r="J64" s="52"/>
      <c r="K64" s="43"/>
      <c r="L64" s="28"/>
    </row>
    <row r="65" spans="1:12" ht="15" customHeight="1">
      <c r="A65" s="8"/>
      <c r="B65" s="51"/>
      <c r="C65" s="51"/>
      <c r="D65" s="40"/>
      <c r="E65" s="42"/>
      <c r="F65" s="42"/>
      <c r="G65" s="42"/>
      <c r="H65" s="13"/>
      <c r="I65" s="45"/>
      <c r="J65" s="52"/>
      <c r="K65" s="43"/>
      <c r="L65" s="28"/>
    </row>
    <row r="66" spans="1:12" ht="15" customHeight="1">
      <c r="A66" s="8"/>
      <c r="B66" s="51"/>
      <c r="C66" s="51"/>
      <c r="D66" s="40"/>
      <c r="E66" s="42"/>
      <c r="F66" s="42"/>
      <c r="G66" s="42"/>
      <c r="H66" s="13"/>
      <c r="I66" s="45"/>
      <c r="J66" s="52"/>
      <c r="K66" s="43"/>
      <c r="L66" s="28"/>
    </row>
    <row r="67" spans="1:12" ht="15" customHeight="1">
      <c r="A67" s="8"/>
      <c r="B67" s="51"/>
      <c r="C67" s="51"/>
      <c r="D67" s="40"/>
      <c r="E67" s="42"/>
      <c r="F67" s="42"/>
      <c r="G67" s="42"/>
      <c r="H67" s="13"/>
      <c r="I67" s="45"/>
      <c r="J67" s="52"/>
      <c r="K67" s="43"/>
      <c r="L67" s="28"/>
    </row>
    <row r="68" spans="1:12" ht="15" customHeight="1">
      <c r="A68" s="9"/>
      <c r="B68" s="50"/>
      <c r="C68" s="50"/>
      <c r="D68" s="40"/>
      <c r="E68" s="37"/>
      <c r="F68" s="37"/>
      <c r="G68" s="37"/>
      <c r="H68" s="11"/>
      <c r="I68" s="30"/>
      <c r="J68" s="32"/>
      <c r="K68" s="31"/>
      <c r="L68" s="28"/>
    </row>
    <row r="69" spans="1:12" ht="15" customHeight="1">
      <c r="A69" s="9"/>
      <c r="B69" s="50"/>
      <c r="C69" s="50"/>
      <c r="D69" s="40"/>
      <c r="E69" s="37"/>
      <c r="F69" s="37"/>
      <c r="G69" s="37"/>
      <c r="H69" s="11"/>
      <c r="I69" s="30"/>
      <c r="J69" s="32"/>
      <c r="K69" s="31"/>
      <c r="L69" s="28"/>
    </row>
    <row r="70" spans="1:12" ht="15" customHeight="1">
      <c r="A70" s="9"/>
      <c r="B70" s="50"/>
      <c r="C70" s="50"/>
      <c r="D70" s="40"/>
      <c r="E70" s="37"/>
      <c r="F70" s="37"/>
      <c r="G70" s="37"/>
      <c r="H70" s="11"/>
      <c r="I70" s="30"/>
      <c r="J70" s="32"/>
      <c r="K70" s="31"/>
      <c r="L70" s="28"/>
    </row>
    <row r="71" spans="1:12" ht="15" customHeight="1">
      <c r="A71" s="8"/>
      <c r="B71" s="51"/>
      <c r="C71" s="51"/>
      <c r="D71" s="40"/>
      <c r="E71" s="37"/>
      <c r="F71" s="37"/>
      <c r="G71" s="37"/>
      <c r="H71" s="11"/>
      <c r="I71" s="30"/>
      <c r="J71" s="32"/>
      <c r="K71" s="31"/>
      <c r="L71" s="28"/>
    </row>
    <row r="72" spans="1:12" ht="15" customHeight="1">
      <c r="A72" s="9"/>
      <c r="B72" s="50"/>
      <c r="C72" s="50"/>
      <c r="D72" s="40"/>
      <c r="E72" s="37"/>
      <c r="F72" s="37"/>
      <c r="G72" s="37"/>
      <c r="H72" s="11"/>
      <c r="I72" s="30"/>
      <c r="J72" s="32"/>
      <c r="K72" s="31"/>
      <c r="L72" s="28"/>
    </row>
    <row r="73" spans="1:12" ht="15" customHeight="1">
      <c r="A73" s="8"/>
      <c r="B73" s="51"/>
      <c r="C73" s="51"/>
      <c r="D73" s="40"/>
      <c r="E73" s="37"/>
      <c r="F73" s="37"/>
      <c r="G73" s="37"/>
      <c r="H73" s="11"/>
      <c r="I73" s="30"/>
      <c r="J73" s="32"/>
      <c r="K73" s="31"/>
      <c r="L73" s="28"/>
    </row>
    <row r="74" spans="1:12" ht="15" customHeight="1">
      <c r="A74" s="9"/>
      <c r="B74" s="50"/>
      <c r="C74" s="50"/>
      <c r="D74" s="40"/>
      <c r="E74" s="37"/>
      <c r="F74" s="37"/>
      <c r="G74" s="37"/>
      <c r="H74" s="11"/>
      <c r="I74" s="30"/>
      <c r="J74" s="32"/>
      <c r="K74" s="31"/>
      <c r="L74" s="28"/>
    </row>
    <row r="75" spans="1:12" ht="15" customHeight="1">
      <c r="A75" s="8"/>
      <c r="B75" s="51"/>
      <c r="C75" s="51"/>
      <c r="D75" s="40"/>
      <c r="E75" s="37"/>
      <c r="F75" s="37"/>
      <c r="G75" s="37"/>
      <c r="H75" s="11"/>
      <c r="I75" s="30"/>
      <c r="J75" s="32"/>
      <c r="K75" s="31"/>
      <c r="L75" s="28"/>
    </row>
    <row r="76" spans="1:12" ht="15" customHeight="1">
      <c r="A76" s="8"/>
      <c r="B76" s="51"/>
      <c r="C76" s="51"/>
      <c r="D76" s="40"/>
      <c r="E76" s="37"/>
      <c r="F76" s="37"/>
      <c r="G76" s="37"/>
      <c r="H76" s="11"/>
      <c r="I76" s="30"/>
      <c r="J76" s="32"/>
      <c r="K76" s="31"/>
      <c r="L76" s="28"/>
    </row>
    <row r="77" spans="1:12" ht="15" customHeight="1">
      <c r="A77" s="9"/>
      <c r="B77" s="50"/>
      <c r="C77" s="50"/>
      <c r="D77" s="40"/>
      <c r="E77" s="37"/>
      <c r="F77" s="37"/>
      <c r="G77" s="37"/>
      <c r="H77" s="11"/>
      <c r="I77" s="30"/>
      <c r="J77" s="32"/>
      <c r="K77" s="31"/>
      <c r="L77" s="28"/>
    </row>
    <row r="78" spans="1:12" ht="15" customHeight="1">
      <c r="A78" s="8"/>
      <c r="B78" s="51"/>
      <c r="C78" s="51"/>
      <c r="D78" s="40"/>
      <c r="E78" s="37"/>
      <c r="F78" s="37"/>
      <c r="G78" s="37"/>
      <c r="H78" s="11"/>
      <c r="I78" s="30"/>
      <c r="J78" s="32"/>
      <c r="K78" s="31"/>
      <c r="L78" s="28"/>
    </row>
    <row r="79" spans="1:12" ht="15" customHeight="1">
      <c r="A79" s="9"/>
      <c r="B79" s="50"/>
      <c r="C79" s="50"/>
      <c r="D79" s="40"/>
      <c r="E79" s="37"/>
      <c r="F79" s="37"/>
      <c r="G79" s="37"/>
      <c r="H79" s="11"/>
      <c r="I79" s="30"/>
      <c r="J79" s="32"/>
      <c r="K79" s="31"/>
      <c r="L79" s="28"/>
    </row>
    <row r="80" spans="1:12" ht="15" customHeight="1">
      <c r="A80" s="8"/>
      <c r="B80" s="51"/>
      <c r="C80" s="51"/>
      <c r="D80" s="40"/>
      <c r="E80" s="37"/>
      <c r="F80" s="37"/>
      <c r="G80" s="37"/>
      <c r="H80" s="11"/>
      <c r="I80" s="30"/>
      <c r="J80" s="32"/>
      <c r="K80" s="31"/>
      <c r="L80" s="28"/>
    </row>
    <row r="81" spans="1:12" ht="15" customHeight="1">
      <c r="A81" s="8"/>
      <c r="B81" s="51"/>
      <c r="C81" s="51"/>
      <c r="D81" s="40"/>
      <c r="E81" s="37"/>
      <c r="F81" s="37"/>
      <c r="G81" s="37"/>
      <c r="H81" s="11"/>
      <c r="I81" s="30"/>
      <c r="J81" s="32"/>
      <c r="K81" s="31"/>
      <c r="L81" s="28"/>
    </row>
    <row r="82" spans="1:12" ht="15" customHeight="1">
      <c r="A82" s="9"/>
      <c r="B82" s="50"/>
      <c r="C82" s="50"/>
      <c r="D82" s="40"/>
      <c r="E82" s="37"/>
      <c r="F82" s="37"/>
      <c r="G82" s="37"/>
      <c r="H82" s="11"/>
      <c r="I82" s="30"/>
      <c r="J82" s="32"/>
      <c r="K82" s="31"/>
      <c r="L82" s="28"/>
    </row>
    <row r="83" spans="1:12">
      <c r="A83" s="9"/>
      <c r="B83" s="50"/>
      <c r="C83" s="50"/>
      <c r="D83" s="40"/>
      <c r="E83" s="37"/>
      <c r="F83" s="37"/>
      <c r="G83" s="37"/>
      <c r="H83" s="11"/>
      <c r="I83" s="45"/>
      <c r="J83" s="52"/>
      <c r="K83" s="43"/>
      <c r="L83" s="28"/>
    </row>
    <row r="84" spans="1:12">
      <c r="A84" s="8"/>
      <c r="B84" s="51"/>
      <c r="C84" s="51"/>
      <c r="D84" s="40"/>
      <c r="E84" s="42"/>
      <c r="F84" s="42"/>
      <c r="G84" s="37"/>
      <c r="H84" s="11"/>
      <c r="I84" s="48"/>
      <c r="J84" s="43"/>
      <c r="K84" s="43"/>
      <c r="L84" s="28"/>
    </row>
    <row r="85" spans="1:12">
      <c r="A85" s="2"/>
      <c r="B85" s="2"/>
      <c r="C85" s="2"/>
      <c r="D85" s="1"/>
      <c r="E85" s="1"/>
      <c r="F85" s="1"/>
      <c r="G85" s="1"/>
      <c r="H85" s="1"/>
      <c r="I85" s="4"/>
      <c r="J85" s="3"/>
      <c r="K85" s="3"/>
      <c r="L85" s="3"/>
    </row>
    <row r="86" spans="1:12">
      <c r="A86" s="2"/>
      <c r="B86" s="2"/>
      <c r="C86" s="2"/>
      <c r="D86" s="1"/>
      <c r="E86" s="1"/>
      <c r="F86" s="1"/>
      <c r="G86" s="1"/>
      <c r="H86" s="1"/>
      <c r="I86" s="1"/>
      <c r="J86" s="3"/>
      <c r="K86" s="3"/>
      <c r="L86" s="3"/>
    </row>
    <row r="87" spans="1:12">
      <c r="A87" s="2"/>
      <c r="B87" s="2"/>
      <c r="C87" s="2"/>
      <c r="D87" s="1"/>
      <c r="E87" s="1"/>
      <c r="F87" s="1"/>
      <c r="G87" s="1"/>
      <c r="H87" s="1"/>
      <c r="I87" s="1"/>
      <c r="J87" s="3"/>
      <c r="K87" s="3"/>
      <c r="L87" s="3"/>
    </row>
    <row r="88" spans="1:12">
      <c r="A88" s="2"/>
      <c r="B88" s="2"/>
      <c r="C88" s="2"/>
      <c r="D88" s="1"/>
      <c r="E88" s="1"/>
      <c r="F88" s="1"/>
      <c r="G88" s="1"/>
      <c r="H88" s="1"/>
      <c r="I88" s="1"/>
      <c r="J88" s="3"/>
      <c r="K88" s="3"/>
      <c r="L88" s="3"/>
    </row>
    <row r="89" spans="1:12">
      <c r="A89" s="2"/>
      <c r="B89" s="2"/>
      <c r="C89" s="2"/>
      <c r="D89" s="1"/>
      <c r="E89" s="1"/>
      <c r="F89" s="1"/>
      <c r="G89" s="1"/>
      <c r="H89" s="1"/>
      <c r="I89" s="1"/>
      <c r="J89" s="3"/>
      <c r="K89" s="3"/>
      <c r="L89" s="3"/>
    </row>
    <row r="90" spans="1:12">
      <c r="A90" s="2"/>
      <c r="B90" s="2"/>
      <c r="C90" s="2"/>
      <c r="D90" s="1"/>
      <c r="E90" s="1"/>
      <c r="F90" s="1"/>
      <c r="G90" s="1"/>
      <c r="H90" s="1"/>
      <c r="I90" s="1"/>
      <c r="J90" s="3"/>
      <c r="K90" s="3"/>
      <c r="L90" s="3"/>
    </row>
    <row r="91" spans="1:12">
      <c r="A91" s="2"/>
      <c r="B91" s="2"/>
      <c r="C91" s="2"/>
      <c r="D91" s="1"/>
      <c r="E91" s="1"/>
      <c r="F91" s="1"/>
      <c r="G91" s="1"/>
      <c r="H91" s="1"/>
      <c r="I91" s="1"/>
      <c r="J91" s="3"/>
      <c r="K91" s="3"/>
      <c r="L91" s="3"/>
    </row>
    <row r="92" spans="1:12">
      <c r="A92" s="2"/>
      <c r="B92" s="2"/>
      <c r="C92" s="2"/>
      <c r="D92" s="1"/>
      <c r="E92" s="1"/>
      <c r="F92" s="1"/>
      <c r="G92" s="1"/>
      <c r="H92" s="1"/>
      <c r="I92" s="1"/>
      <c r="J92" s="3"/>
      <c r="K92" s="3"/>
      <c r="L92" s="3"/>
    </row>
    <row r="93" spans="1:12">
      <c r="A93" s="2"/>
      <c r="B93" s="2"/>
      <c r="C93" s="2"/>
      <c r="D93" s="1"/>
      <c r="E93" s="1"/>
      <c r="F93" s="1"/>
      <c r="G93" s="1"/>
      <c r="H93" s="1"/>
      <c r="I93" s="1"/>
      <c r="J93" s="3"/>
      <c r="K93" s="3"/>
      <c r="L93" s="3"/>
    </row>
    <row r="94" spans="1:12">
      <c r="A94" s="2"/>
      <c r="B94" s="2"/>
      <c r="C94" s="2"/>
      <c r="D94" s="1"/>
      <c r="E94" s="1"/>
      <c r="F94" s="1"/>
      <c r="G94" s="1"/>
      <c r="H94" s="1"/>
      <c r="I94" s="1"/>
      <c r="J94" s="3"/>
      <c r="K94" s="3"/>
      <c r="L94" s="3"/>
    </row>
    <row r="95" spans="1:12">
      <c r="A95" s="2"/>
      <c r="B95" s="2"/>
      <c r="C95" s="2"/>
      <c r="D95" s="1"/>
      <c r="E95" s="1"/>
      <c r="F95" s="1"/>
      <c r="G95" s="1"/>
      <c r="H95" s="1"/>
      <c r="I95" s="1"/>
      <c r="J95" s="3"/>
      <c r="K95" s="3"/>
      <c r="L95" s="3"/>
    </row>
    <row r="96" spans="1:12">
      <c r="A96" s="2"/>
      <c r="B96" s="2"/>
      <c r="C96" s="2"/>
      <c r="D96" s="1"/>
      <c r="E96" s="1"/>
      <c r="F96" s="1"/>
      <c r="G96" s="1"/>
      <c r="H96" s="1"/>
      <c r="I96" s="1"/>
      <c r="J96" s="3"/>
      <c r="K96" s="3"/>
      <c r="L96" s="3"/>
    </row>
    <row r="97" spans="1:12">
      <c r="A97" s="2"/>
      <c r="B97" s="2"/>
      <c r="C97" s="2"/>
      <c r="D97" s="1"/>
      <c r="E97" s="1"/>
      <c r="F97" s="1"/>
      <c r="G97" s="1"/>
      <c r="H97" s="1"/>
      <c r="I97" s="1"/>
      <c r="J97" s="3"/>
      <c r="K97" s="3"/>
      <c r="L97" s="3"/>
    </row>
    <row r="98" spans="1:12">
      <c r="A98" s="2"/>
      <c r="B98" s="2"/>
      <c r="C98" s="2"/>
      <c r="D98" s="1"/>
      <c r="E98" s="1"/>
      <c r="F98" s="1"/>
      <c r="G98" s="1"/>
      <c r="H98" s="1"/>
      <c r="I98" s="1"/>
      <c r="J98" s="3"/>
      <c r="K98" s="3"/>
      <c r="L98" s="3"/>
    </row>
    <row r="99" spans="1:12">
      <c r="A99" s="2"/>
      <c r="B99" s="2"/>
      <c r="C99" s="2"/>
      <c r="D99" s="1"/>
      <c r="E99" s="1"/>
      <c r="F99" s="1"/>
      <c r="G99" s="1"/>
      <c r="H99" s="1"/>
      <c r="I99" s="1"/>
      <c r="J99" s="3"/>
      <c r="K99" s="3"/>
      <c r="L99" s="3"/>
    </row>
    <row r="100" spans="1:12">
      <c r="A100" s="2"/>
      <c r="B100" s="2"/>
      <c r="C100" s="2"/>
      <c r="D100" s="1"/>
      <c r="E100" s="1"/>
      <c r="F100" s="1"/>
      <c r="G100" s="1"/>
      <c r="H100" s="1"/>
      <c r="I100" s="1"/>
      <c r="J100" s="3"/>
      <c r="K100" s="3"/>
      <c r="L100" s="3"/>
    </row>
    <row r="101" spans="1:12">
      <c r="A101" s="2"/>
      <c r="B101" s="2"/>
      <c r="C101" s="2"/>
      <c r="D101" s="1"/>
      <c r="E101" s="1"/>
      <c r="F101" s="1"/>
      <c r="G101" s="1"/>
      <c r="H101" s="1"/>
      <c r="I101" s="1"/>
      <c r="J101" s="3"/>
      <c r="K101" s="3"/>
      <c r="L101" s="3"/>
    </row>
    <row r="102" spans="1:12">
      <c r="A102" s="2"/>
      <c r="B102" s="2"/>
      <c r="C102" s="2"/>
      <c r="D102" s="1"/>
      <c r="E102" s="1"/>
      <c r="F102" s="1"/>
      <c r="G102" s="1"/>
      <c r="H102" s="1"/>
      <c r="I102" s="1"/>
      <c r="J102" s="3"/>
      <c r="K102" s="3"/>
      <c r="L102" s="3"/>
    </row>
    <row r="103" spans="1:12">
      <c r="A103" s="2"/>
      <c r="B103" s="2"/>
      <c r="C103" s="2"/>
      <c r="D103" s="1"/>
      <c r="E103" s="1"/>
      <c r="F103" s="1"/>
      <c r="G103" s="1"/>
      <c r="H103" s="1"/>
      <c r="I103" s="1"/>
      <c r="J103" s="3"/>
      <c r="K103" s="3"/>
      <c r="L103" s="3"/>
    </row>
    <row r="104" spans="1:12">
      <c r="A104" s="2"/>
      <c r="B104" s="2"/>
      <c r="C104" s="2"/>
      <c r="D104" s="1"/>
      <c r="E104" s="1"/>
      <c r="F104" s="1"/>
      <c r="G104" s="1"/>
      <c r="H104" s="1"/>
      <c r="I104" s="1"/>
      <c r="J104" s="3"/>
      <c r="K104" s="3"/>
      <c r="L104" s="3"/>
    </row>
    <row r="105" spans="1:12">
      <c r="A105" s="2"/>
      <c r="B105" s="2"/>
      <c r="C105" s="2"/>
      <c r="D105" s="1"/>
      <c r="E105" s="1"/>
      <c r="F105" s="1"/>
      <c r="G105" s="1"/>
      <c r="H105" s="1"/>
      <c r="I105" s="1"/>
      <c r="J105" s="3"/>
      <c r="K105" s="3"/>
      <c r="L105" s="3"/>
    </row>
    <row r="106" spans="1:12">
      <c r="A106" s="2"/>
      <c r="B106" s="2"/>
      <c r="C106" s="2"/>
      <c r="D106" s="1"/>
      <c r="E106" s="1"/>
      <c r="F106" s="1"/>
      <c r="G106" s="1"/>
      <c r="H106" s="1"/>
      <c r="I106" s="1"/>
      <c r="J106" s="3"/>
      <c r="K106" s="3"/>
      <c r="L106" s="3"/>
    </row>
    <row r="107" spans="1:12">
      <c r="A107" s="2"/>
      <c r="B107" s="2"/>
      <c r="C107" s="2"/>
      <c r="D107" s="1"/>
      <c r="E107" s="1"/>
      <c r="F107" s="1"/>
      <c r="G107" s="1"/>
      <c r="H107" s="1"/>
      <c r="I107" s="1"/>
      <c r="J107" s="3"/>
      <c r="K107" s="3"/>
      <c r="L107" s="3"/>
    </row>
    <row r="108" spans="1:12">
      <c r="A108" s="2"/>
      <c r="B108" s="2"/>
      <c r="C108" s="2"/>
      <c r="D108" s="1"/>
      <c r="E108" s="1"/>
      <c r="F108" s="1"/>
      <c r="G108" s="1"/>
      <c r="H108" s="1"/>
      <c r="I108" s="1"/>
      <c r="J108" s="3"/>
      <c r="K108" s="3"/>
      <c r="L108" s="3"/>
    </row>
    <row r="109" spans="1:12">
      <c r="A109" s="2"/>
      <c r="B109" s="2"/>
      <c r="C109" s="2"/>
      <c r="D109" s="1"/>
      <c r="E109" s="1"/>
      <c r="F109" s="1"/>
      <c r="G109" s="1"/>
      <c r="H109" s="1"/>
      <c r="I109" s="1"/>
      <c r="J109" s="3"/>
      <c r="K109" s="3"/>
      <c r="L109" s="3"/>
    </row>
    <row r="110" spans="1:12">
      <c r="A110" s="2"/>
      <c r="B110" s="2"/>
      <c r="C110" s="2"/>
      <c r="D110" s="1"/>
      <c r="E110" s="1"/>
      <c r="F110" s="1"/>
      <c r="G110" s="1"/>
      <c r="H110" s="1"/>
      <c r="I110" s="1"/>
      <c r="J110" s="3"/>
      <c r="K110" s="3"/>
      <c r="L110" s="3"/>
    </row>
    <row r="111" spans="1:12">
      <c r="A111" s="2"/>
      <c r="B111" s="2"/>
      <c r="C111" s="2"/>
      <c r="D111" s="1"/>
      <c r="E111" s="1"/>
      <c r="F111" s="1"/>
      <c r="G111" s="1"/>
      <c r="H111" s="1"/>
      <c r="I111" s="1"/>
      <c r="J111" s="3"/>
      <c r="K111" s="3"/>
      <c r="L111" s="3"/>
    </row>
    <row r="112" spans="1:12">
      <c r="A112" s="2"/>
      <c r="B112" s="2"/>
      <c r="C112" s="2"/>
      <c r="D112" s="1"/>
      <c r="E112" s="1"/>
      <c r="F112" s="1"/>
      <c r="G112" s="1"/>
      <c r="H112" s="1"/>
      <c r="I112" s="1"/>
      <c r="J112" s="3"/>
      <c r="K112" s="3"/>
      <c r="L112" s="3"/>
    </row>
    <row r="113" spans="1:12">
      <c r="A113" s="2"/>
      <c r="B113" s="2"/>
      <c r="C113" s="2"/>
      <c r="D113" s="1"/>
      <c r="E113" s="1"/>
      <c r="F113" s="1"/>
      <c r="G113" s="1"/>
      <c r="H113" s="1"/>
      <c r="I113" s="1"/>
      <c r="J113" s="3"/>
      <c r="K113" s="3"/>
      <c r="L113" s="3"/>
    </row>
    <row r="114" spans="1:12">
      <c r="A114" s="2"/>
      <c r="B114" s="2"/>
      <c r="C114" s="2"/>
      <c r="D114" s="1"/>
      <c r="E114" s="1"/>
      <c r="F114" s="1"/>
      <c r="G114" s="1"/>
      <c r="H114" s="1"/>
      <c r="I114" s="1"/>
      <c r="J114" s="3"/>
      <c r="K114" s="3"/>
      <c r="L114" s="3"/>
    </row>
    <row r="115" spans="1:12">
      <c r="A115" s="2"/>
      <c r="B115" s="2"/>
      <c r="C115" s="2"/>
      <c r="D115" s="1"/>
      <c r="E115" s="1"/>
      <c r="F115" s="1"/>
      <c r="G115" s="1"/>
      <c r="H115" s="1"/>
      <c r="I115" s="1"/>
      <c r="J115" s="3"/>
      <c r="K115" s="3"/>
      <c r="L115" s="3"/>
    </row>
    <row r="116" spans="1:12">
      <c r="A116" s="2"/>
      <c r="B116" s="2"/>
      <c r="C116" s="2"/>
      <c r="D116" s="1"/>
      <c r="E116" s="1"/>
      <c r="F116" s="1"/>
      <c r="G116" s="1"/>
      <c r="H116" s="1"/>
      <c r="I116" s="1"/>
      <c r="J116" s="3"/>
      <c r="K116" s="3"/>
      <c r="L116" s="3"/>
    </row>
    <row r="117" spans="1:12">
      <c r="A117" s="2"/>
      <c r="B117" s="2"/>
      <c r="C117" s="2"/>
      <c r="D117" s="1"/>
      <c r="E117" s="1"/>
      <c r="F117" s="1"/>
      <c r="G117" s="1"/>
      <c r="H117" s="1"/>
      <c r="I117" s="1"/>
      <c r="J117" s="3"/>
      <c r="K117" s="3"/>
      <c r="L117" s="3"/>
    </row>
    <row r="118" spans="1:12">
      <c r="A118" s="2"/>
      <c r="B118" s="2"/>
      <c r="C118" s="2"/>
      <c r="D118" s="1"/>
      <c r="E118" s="1"/>
      <c r="F118" s="1"/>
      <c r="G118" s="1"/>
      <c r="H118" s="1"/>
      <c r="I118" s="1"/>
      <c r="J118" s="3"/>
      <c r="K118" s="3"/>
      <c r="L118" s="3"/>
    </row>
    <row r="119" spans="1:12">
      <c r="A119" s="2"/>
      <c r="B119" s="2"/>
      <c r="C119" s="2"/>
      <c r="D119" s="1"/>
      <c r="E119" s="1"/>
      <c r="F119" s="1"/>
      <c r="G119" s="1"/>
      <c r="H119" s="1"/>
      <c r="I119" s="1"/>
      <c r="J119" s="3"/>
      <c r="K119" s="3"/>
      <c r="L119" s="3"/>
    </row>
    <row r="120" spans="1:12">
      <c r="A120" s="2"/>
      <c r="B120" s="2"/>
      <c r="C120" s="2"/>
      <c r="D120" s="1"/>
      <c r="E120" s="1"/>
      <c r="F120" s="1"/>
      <c r="G120" s="1"/>
      <c r="H120" s="1"/>
      <c r="I120" s="1"/>
      <c r="J120" s="3"/>
      <c r="K120" s="3"/>
      <c r="L120" s="3"/>
    </row>
    <row r="121" spans="1:12">
      <c r="A121" s="2"/>
      <c r="B121" s="2"/>
      <c r="C121" s="2"/>
      <c r="D121" s="1"/>
      <c r="E121" s="1"/>
      <c r="F121" s="1"/>
      <c r="G121" s="1"/>
      <c r="H121" s="1"/>
      <c r="I121" s="1"/>
      <c r="J121" s="3"/>
      <c r="K121" s="3"/>
      <c r="L121" s="3"/>
    </row>
    <row r="122" spans="1:12">
      <c r="A122" s="2"/>
      <c r="B122" s="2"/>
      <c r="C122" s="2"/>
      <c r="D122" s="1"/>
      <c r="E122" s="1"/>
      <c r="F122" s="1"/>
      <c r="G122" s="1"/>
      <c r="H122" s="1"/>
      <c r="I122" s="1"/>
      <c r="J122" s="3"/>
      <c r="K122" s="3"/>
      <c r="L122" s="3"/>
    </row>
    <row r="123" spans="1:12">
      <c r="A123" s="2"/>
      <c r="B123" s="2"/>
      <c r="C123" s="2"/>
      <c r="D123" s="1"/>
      <c r="E123" s="1"/>
      <c r="F123" s="1"/>
      <c r="G123" s="1"/>
      <c r="H123" s="1"/>
      <c r="I123" s="1"/>
      <c r="J123" s="3"/>
      <c r="K123" s="3"/>
      <c r="L123" s="3"/>
    </row>
    <row r="124" spans="1:12">
      <c r="A124" s="2"/>
      <c r="B124" s="2"/>
      <c r="C124" s="2"/>
      <c r="D124" s="1"/>
      <c r="E124" s="1"/>
      <c r="F124" s="1"/>
      <c r="G124" s="1"/>
      <c r="H124" s="1"/>
      <c r="I124" s="1"/>
      <c r="J124" s="3"/>
      <c r="K124" s="3"/>
      <c r="L124" s="3"/>
    </row>
    <row r="125" spans="1:12">
      <c r="A125" s="2"/>
      <c r="B125" s="2"/>
      <c r="C125" s="2"/>
      <c r="D125" s="1"/>
      <c r="E125" s="1"/>
      <c r="F125" s="1"/>
      <c r="G125" s="1"/>
      <c r="H125" s="1"/>
      <c r="I125" s="1"/>
      <c r="J125" s="3"/>
      <c r="K125" s="3"/>
      <c r="L125" s="3"/>
    </row>
    <row r="126" spans="1:12">
      <c r="A126" s="2"/>
      <c r="B126" s="2"/>
      <c r="C126" s="2"/>
      <c r="D126" s="1"/>
      <c r="E126" s="1"/>
      <c r="F126" s="1"/>
      <c r="G126" s="1"/>
      <c r="H126" s="1"/>
      <c r="I126" s="1"/>
      <c r="J126" s="3"/>
      <c r="K126" s="3"/>
      <c r="L126" s="3"/>
    </row>
    <row r="127" spans="1:12">
      <c r="A127" s="2"/>
      <c r="B127" s="2"/>
      <c r="C127" s="2"/>
      <c r="D127" s="1"/>
      <c r="E127" s="1"/>
      <c r="F127" s="1"/>
      <c r="G127" s="1"/>
      <c r="H127" s="1"/>
      <c r="I127" s="1"/>
      <c r="J127" s="3"/>
      <c r="K127" s="3"/>
      <c r="L127" s="3"/>
    </row>
    <row r="128" spans="1:12">
      <c r="A128" s="2"/>
      <c r="B128" s="2"/>
      <c r="C128" s="2"/>
      <c r="D128" s="1"/>
      <c r="E128" s="1"/>
      <c r="F128" s="1"/>
      <c r="G128" s="1"/>
      <c r="H128" s="1"/>
      <c r="I128" s="1"/>
      <c r="J128" s="3"/>
      <c r="K128" s="3"/>
      <c r="L128" s="3"/>
    </row>
    <row r="129" spans="1:12">
      <c r="A129" s="2"/>
      <c r="B129" s="2"/>
      <c r="C129" s="2"/>
      <c r="D129" s="1"/>
      <c r="E129" s="1"/>
      <c r="F129" s="1"/>
      <c r="G129" s="1"/>
      <c r="H129" s="1"/>
      <c r="I129" s="1"/>
      <c r="J129" s="3"/>
      <c r="K129" s="3"/>
      <c r="L129" s="3"/>
    </row>
    <row r="130" spans="1:12">
      <c r="A130" s="2"/>
      <c r="B130" s="2"/>
      <c r="C130" s="2"/>
      <c r="D130" s="1"/>
      <c r="E130" s="1"/>
      <c r="F130" s="1"/>
      <c r="G130" s="1"/>
      <c r="H130" s="1"/>
      <c r="I130" s="1"/>
      <c r="J130" s="3"/>
      <c r="K130" s="3"/>
      <c r="L130" s="3"/>
    </row>
    <row r="131" spans="1:12">
      <c r="A131" s="2"/>
      <c r="B131" s="2"/>
      <c r="C131" s="2"/>
      <c r="D131" s="1"/>
      <c r="E131" s="1"/>
      <c r="F131" s="1"/>
      <c r="G131" s="1"/>
      <c r="H131" s="1"/>
      <c r="I131" s="1"/>
      <c r="J131" s="3"/>
      <c r="K131" s="3"/>
      <c r="L131" s="3"/>
    </row>
    <row r="132" spans="1:12">
      <c r="A132" s="2"/>
      <c r="B132" s="2"/>
      <c r="C132" s="2"/>
      <c r="D132" s="1"/>
      <c r="E132" s="1"/>
      <c r="F132" s="1"/>
      <c r="G132" s="1"/>
      <c r="H132" s="1"/>
      <c r="I132" s="1"/>
      <c r="J132" s="3"/>
      <c r="K132" s="3"/>
      <c r="L132" s="3"/>
    </row>
    <row r="133" spans="1:12">
      <c r="A133" s="2"/>
      <c r="B133" s="2"/>
      <c r="C133" s="2"/>
      <c r="D133" s="1"/>
      <c r="E133" s="1"/>
      <c r="F133" s="1"/>
      <c r="G133" s="1"/>
      <c r="H133" s="1"/>
      <c r="I133" s="1"/>
      <c r="J133" s="3"/>
      <c r="K133" s="3"/>
      <c r="L133" s="3"/>
    </row>
    <row r="134" spans="1:12">
      <c r="A134" s="2"/>
      <c r="B134" s="2"/>
      <c r="C134" s="2"/>
      <c r="D134" s="1"/>
      <c r="E134" s="1"/>
      <c r="F134" s="1"/>
      <c r="G134" s="1"/>
      <c r="H134" s="1"/>
      <c r="I134" s="1"/>
      <c r="J134" s="3"/>
      <c r="K134" s="3"/>
      <c r="L134" s="3"/>
    </row>
    <row r="135" spans="1:12">
      <c r="A135" s="2"/>
      <c r="B135" s="2"/>
      <c r="C135" s="2"/>
      <c r="D135" s="1"/>
      <c r="E135" s="1"/>
      <c r="F135" s="1"/>
      <c r="G135" s="1"/>
      <c r="H135" s="1"/>
      <c r="I135" s="1"/>
      <c r="J135" s="3"/>
      <c r="K135" s="3"/>
      <c r="L135" s="3"/>
    </row>
    <row r="136" spans="1:12">
      <c r="A136" s="2"/>
      <c r="B136" s="2"/>
      <c r="C136" s="2"/>
      <c r="D136" s="1"/>
      <c r="E136" s="1"/>
      <c r="F136" s="1"/>
      <c r="G136" s="1"/>
      <c r="H136" s="1"/>
      <c r="I136" s="1"/>
      <c r="J136" s="3"/>
      <c r="K136" s="3"/>
      <c r="L136" s="3"/>
    </row>
    <row r="137" spans="1:12">
      <c r="A137" s="2"/>
      <c r="B137" s="2"/>
      <c r="C137" s="2"/>
      <c r="D137" s="1"/>
      <c r="E137" s="1"/>
      <c r="F137" s="1"/>
      <c r="G137" s="1"/>
      <c r="H137" s="1"/>
      <c r="I137" s="1"/>
      <c r="J137" s="3"/>
      <c r="K137" s="3"/>
      <c r="L137" s="3"/>
    </row>
    <row r="138" spans="1:12">
      <c r="A138" s="2"/>
      <c r="B138" s="2"/>
      <c r="C138" s="2"/>
      <c r="D138" s="1"/>
      <c r="E138" s="1"/>
      <c r="F138" s="1"/>
      <c r="G138" s="1"/>
      <c r="H138" s="1"/>
      <c r="I138" s="1"/>
      <c r="J138" s="3"/>
      <c r="K138" s="3"/>
      <c r="L138" s="3"/>
    </row>
    <row r="139" spans="1:12">
      <c r="A139" s="2"/>
      <c r="B139" s="2"/>
      <c r="C139" s="2"/>
      <c r="D139" s="1"/>
      <c r="E139" s="1"/>
      <c r="F139" s="1"/>
      <c r="G139" s="1"/>
      <c r="H139" s="1"/>
      <c r="I139" s="1"/>
      <c r="J139" s="3"/>
      <c r="K139" s="3"/>
      <c r="L139" s="3"/>
    </row>
    <row r="140" spans="1:12">
      <c r="A140" s="2"/>
      <c r="B140" s="2"/>
      <c r="C140" s="2"/>
      <c r="D140" s="1"/>
      <c r="E140" s="1"/>
      <c r="F140" s="1"/>
      <c r="G140" s="1"/>
      <c r="H140" s="1"/>
      <c r="I140" s="1"/>
      <c r="J140" s="3"/>
      <c r="K140" s="3"/>
      <c r="L140" s="3"/>
    </row>
    <row r="141" spans="1:12">
      <c r="A141" s="2"/>
      <c r="B141" s="2"/>
      <c r="C141" s="2"/>
      <c r="D141" s="1"/>
      <c r="E141" s="1"/>
      <c r="F141" s="1"/>
      <c r="G141" s="1"/>
      <c r="H141" s="1"/>
      <c r="I141" s="1"/>
      <c r="J141" s="3"/>
      <c r="K141" s="3"/>
      <c r="L141" s="3"/>
    </row>
    <row r="142" spans="1:12">
      <c r="A142" s="2"/>
      <c r="B142" s="2"/>
      <c r="C142" s="2"/>
      <c r="D142" s="1"/>
      <c r="E142" s="1"/>
      <c r="F142" s="1"/>
      <c r="G142" s="1"/>
      <c r="H142" s="1"/>
      <c r="I142" s="1"/>
      <c r="J142" s="3"/>
      <c r="K142" s="3"/>
      <c r="L142" s="3"/>
    </row>
    <row r="143" spans="1:12">
      <c r="A143" s="2"/>
      <c r="B143" s="2"/>
      <c r="C143" s="2"/>
      <c r="D143" s="1"/>
      <c r="E143" s="1"/>
      <c r="F143" s="1"/>
      <c r="G143" s="1"/>
      <c r="H143" s="1"/>
      <c r="I143" s="1"/>
      <c r="J143" s="3"/>
      <c r="K143" s="3"/>
      <c r="L143" s="3"/>
    </row>
    <row r="144" spans="1:12">
      <c r="A144" s="2"/>
      <c r="B144" s="2"/>
      <c r="C144" s="2"/>
      <c r="D144" s="1"/>
      <c r="E144" s="1"/>
      <c r="F144" s="1"/>
      <c r="G144" s="1"/>
      <c r="H144" s="1"/>
      <c r="I144" s="1"/>
      <c r="J144" s="3"/>
      <c r="K144" s="3"/>
      <c r="L144" s="3"/>
    </row>
    <row r="145" spans="1:12">
      <c r="A145" s="2"/>
      <c r="B145" s="2"/>
      <c r="C145" s="2"/>
      <c r="D145" s="1"/>
      <c r="E145" s="1"/>
      <c r="F145" s="1"/>
      <c r="G145" s="1"/>
      <c r="H145" s="1"/>
      <c r="I145" s="1"/>
      <c r="J145" s="3"/>
      <c r="K145" s="3"/>
      <c r="L145" s="3"/>
    </row>
    <row r="146" spans="1:12">
      <c r="A146" s="2"/>
      <c r="B146" s="2"/>
      <c r="C146" s="2"/>
      <c r="D146" s="1"/>
      <c r="E146" s="1"/>
      <c r="F146" s="1"/>
      <c r="G146" s="1"/>
      <c r="H146" s="1"/>
      <c r="I146" s="1"/>
      <c r="J146" s="3"/>
      <c r="K146" s="3"/>
      <c r="L146" s="3"/>
    </row>
    <row r="147" spans="1:12">
      <c r="A147" s="2"/>
      <c r="B147" s="2"/>
      <c r="C147" s="2"/>
      <c r="D147" s="1"/>
      <c r="E147" s="1"/>
      <c r="F147" s="1"/>
      <c r="G147" s="1"/>
      <c r="H147" s="1"/>
      <c r="I147" s="1"/>
      <c r="J147" s="3"/>
      <c r="K147" s="3"/>
      <c r="L147" s="3"/>
    </row>
    <row r="148" spans="1:12">
      <c r="A148" s="2"/>
      <c r="B148" s="2"/>
      <c r="C148" s="2"/>
      <c r="D148" s="1"/>
      <c r="E148" s="1"/>
      <c r="F148" s="1"/>
      <c r="G148" s="1"/>
      <c r="H148" s="1"/>
      <c r="I148" s="1"/>
      <c r="J148" s="3"/>
      <c r="K148" s="3"/>
      <c r="L148" s="3"/>
    </row>
    <row r="149" spans="1:12">
      <c r="A149" s="2"/>
      <c r="B149" s="2"/>
      <c r="C149" s="2"/>
      <c r="D149" s="1"/>
      <c r="E149" s="1"/>
      <c r="F149" s="1"/>
      <c r="G149" s="1"/>
      <c r="H149" s="1"/>
      <c r="I149" s="1"/>
      <c r="J149" s="3"/>
      <c r="K149" s="3"/>
      <c r="L149" s="3"/>
    </row>
    <row r="150" spans="1:12">
      <c r="A150" s="2"/>
      <c r="B150" s="2"/>
      <c r="C150" s="2"/>
      <c r="D150" s="1"/>
      <c r="E150" s="1"/>
      <c r="F150" s="1"/>
      <c r="G150" s="1"/>
      <c r="H150" s="1"/>
      <c r="I150" s="1"/>
      <c r="J150" s="3"/>
      <c r="K150" s="3"/>
      <c r="L150" s="3"/>
    </row>
    <row r="151" spans="1:12">
      <c r="A151" s="2"/>
      <c r="B151" s="2"/>
      <c r="C151" s="2"/>
      <c r="D151" s="1"/>
      <c r="E151" s="1"/>
      <c r="F151" s="1"/>
      <c r="G151" s="1"/>
      <c r="H151" s="1"/>
      <c r="I151" s="1"/>
      <c r="J151" s="3"/>
      <c r="K151" s="3"/>
      <c r="L151" s="3"/>
    </row>
    <row r="152" spans="1:12">
      <c r="A152" s="2"/>
      <c r="B152" s="2"/>
      <c r="C152" s="2"/>
      <c r="D152" s="1"/>
      <c r="E152" s="1"/>
      <c r="F152" s="1"/>
      <c r="G152" s="1"/>
      <c r="H152" s="1"/>
      <c r="I152" s="1"/>
      <c r="J152" s="3"/>
      <c r="K152" s="3"/>
      <c r="L152" s="3"/>
    </row>
    <row r="153" spans="1:12">
      <c r="A153" s="2"/>
      <c r="B153" s="2"/>
      <c r="C153" s="2"/>
      <c r="D153" s="1"/>
      <c r="E153" s="1"/>
      <c r="F153" s="1"/>
      <c r="G153" s="1"/>
      <c r="H153" s="1"/>
      <c r="I153" s="1"/>
      <c r="J153" s="3"/>
      <c r="K153" s="3"/>
      <c r="L153" s="3"/>
    </row>
    <row r="154" spans="1:12">
      <c r="A154" s="2"/>
      <c r="B154" s="2"/>
      <c r="C154" s="2"/>
      <c r="D154" s="1"/>
      <c r="E154" s="1"/>
      <c r="F154" s="1"/>
      <c r="G154" s="1"/>
      <c r="H154" s="1"/>
      <c r="I154" s="1"/>
      <c r="J154" s="3"/>
      <c r="K154" s="3"/>
      <c r="L154" s="3"/>
    </row>
    <row r="155" spans="1:12">
      <c r="A155" s="2"/>
      <c r="B155" s="2"/>
      <c r="C155" s="2"/>
      <c r="D155" s="1"/>
      <c r="E155" s="1"/>
      <c r="F155" s="1"/>
      <c r="G155" s="1"/>
      <c r="H155" s="1"/>
      <c r="I155" s="1"/>
      <c r="J155" s="3"/>
      <c r="K155" s="3"/>
      <c r="L155" s="3"/>
    </row>
    <row r="156" spans="1:12">
      <c r="A156" s="2"/>
      <c r="B156" s="2"/>
      <c r="C156" s="2"/>
      <c r="D156" s="1"/>
      <c r="E156" s="1"/>
      <c r="F156" s="1"/>
      <c r="G156" s="1"/>
      <c r="H156" s="1"/>
      <c r="I156" s="1"/>
      <c r="J156" s="3"/>
      <c r="K156" s="3"/>
      <c r="L156" s="3"/>
    </row>
    <row r="157" spans="1:12">
      <c r="A157" s="2"/>
      <c r="B157" s="2"/>
      <c r="C157" s="2"/>
      <c r="D157" s="1"/>
      <c r="E157" s="1"/>
      <c r="F157" s="1"/>
      <c r="G157" s="1"/>
      <c r="H157" s="1"/>
      <c r="I157" s="1"/>
      <c r="J157" s="3"/>
      <c r="K157" s="3"/>
      <c r="L157" s="3"/>
    </row>
    <row r="158" spans="1:12">
      <c r="A158" s="2"/>
      <c r="B158" s="2"/>
      <c r="C158" s="2"/>
      <c r="D158" s="1"/>
      <c r="E158" s="1"/>
      <c r="F158" s="1"/>
      <c r="G158" s="1"/>
      <c r="H158" s="1"/>
      <c r="I158" s="1"/>
      <c r="J158" s="3"/>
      <c r="K158" s="3"/>
      <c r="L158" s="3"/>
    </row>
    <row r="159" spans="1:12">
      <c r="A159" s="2"/>
      <c r="B159" s="2"/>
      <c r="C159" s="2"/>
      <c r="D159" s="1"/>
      <c r="E159" s="1"/>
      <c r="F159" s="1"/>
      <c r="G159" s="1"/>
      <c r="H159" s="1"/>
      <c r="I159" s="1"/>
      <c r="J159" s="3"/>
      <c r="K159" s="3"/>
      <c r="L159" s="3"/>
    </row>
    <row r="160" spans="1:12">
      <c r="A160" s="2"/>
      <c r="B160" s="2"/>
      <c r="C160" s="2"/>
      <c r="D160" s="1"/>
      <c r="E160" s="1"/>
      <c r="F160" s="1"/>
      <c r="G160" s="1"/>
      <c r="H160" s="1"/>
      <c r="I160" s="1"/>
      <c r="J160" s="3"/>
      <c r="K160" s="3"/>
      <c r="L160" s="3"/>
    </row>
    <row r="161" spans="1:12">
      <c r="A161" s="2"/>
      <c r="B161" s="2"/>
      <c r="C161" s="2"/>
      <c r="D161" s="1"/>
      <c r="E161" s="1"/>
      <c r="F161" s="1"/>
      <c r="G161" s="1"/>
      <c r="H161" s="1"/>
      <c r="I161" s="1"/>
      <c r="J161" s="3"/>
      <c r="K161" s="3"/>
      <c r="L161" s="3"/>
    </row>
    <row r="162" spans="1:12">
      <c r="A162" s="2"/>
      <c r="B162" s="2"/>
      <c r="C162" s="2"/>
      <c r="D162" s="1"/>
      <c r="E162" s="1"/>
      <c r="F162" s="1"/>
      <c r="G162" s="1"/>
      <c r="H162" s="1"/>
      <c r="I162" s="1"/>
      <c r="J162" s="3"/>
      <c r="K162" s="3"/>
      <c r="L162" s="3"/>
    </row>
    <row r="163" spans="1:12">
      <c r="A163" s="2"/>
      <c r="B163" s="2"/>
      <c r="C163" s="2"/>
      <c r="D163" s="1"/>
      <c r="E163" s="1"/>
      <c r="F163" s="1"/>
      <c r="G163" s="1"/>
      <c r="H163" s="1"/>
      <c r="I163" s="1"/>
      <c r="J163" s="3"/>
      <c r="K163" s="3"/>
      <c r="L163" s="3"/>
    </row>
    <row r="164" spans="1:12">
      <c r="A164" s="2"/>
      <c r="B164" s="2"/>
      <c r="C164" s="2"/>
      <c r="D164" s="1"/>
      <c r="E164" s="1"/>
      <c r="F164" s="1"/>
      <c r="G164" s="1"/>
      <c r="H164" s="1"/>
      <c r="I164" s="1"/>
      <c r="J164" s="3"/>
      <c r="K164" s="3"/>
      <c r="L164" s="3"/>
    </row>
    <row r="165" spans="1:12">
      <c r="A165" s="2"/>
      <c r="B165" s="2"/>
      <c r="C165" s="2"/>
      <c r="D165" s="1"/>
      <c r="E165" s="1"/>
      <c r="F165" s="1"/>
      <c r="G165" s="1"/>
      <c r="H165" s="1"/>
      <c r="I165" s="1"/>
      <c r="J165" s="3"/>
      <c r="K165" s="3"/>
      <c r="L165" s="3"/>
    </row>
    <row r="166" spans="1:12">
      <c r="A166" s="2"/>
      <c r="B166" s="2"/>
      <c r="C166" s="2"/>
      <c r="D166" s="1"/>
      <c r="E166" s="1"/>
      <c r="F166" s="1"/>
      <c r="G166" s="1"/>
      <c r="H166" s="1"/>
      <c r="I166" s="1"/>
      <c r="J166" s="3"/>
      <c r="K166" s="3"/>
      <c r="L166" s="3"/>
    </row>
  </sheetData>
  <autoFilter ref="A7:L80" xr:uid="{00000000-0001-0000-0000-000000000000}">
    <sortState xmlns:xlrd2="http://schemas.microsoft.com/office/spreadsheetml/2017/richdata2" ref="A8:L80">
      <sortCondition ref="D7:D80"/>
    </sortState>
  </autoFilter>
  <sortState xmlns:xlrd2="http://schemas.microsoft.com/office/spreadsheetml/2017/richdata2" ref="A22:L80">
    <sortCondition ref="A22:A80"/>
  </sortState>
  <mergeCells count="7">
    <mergeCell ref="D6:H6"/>
    <mergeCell ref="I6:L6"/>
    <mergeCell ref="A4:L4"/>
    <mergeCell ref="A5:L5"/>
    <mergeCell ref="A1:O1"/>
    <mergeCell ref="A2:O2"/>
    <mergeCell ref="A3:O3"/>
  </mergeCells>
  <hyperlinks>
    <hyperlink ref="A10" r:id="rId1" xr:uid="{2C9B0302-B77D-45C6-A082-EBA5D75123C5}"/>
    <hyperlink ref="A13" r:id="rId2" xr:uid="{1639EC37-501D-4BD5-A657-B2E638E73B9F}"/>
    <hyperlink ref="A18" r:id="rId3" xr:uid="{718A5D3A-03A5-43BD-8F9A-36849E794B57}"/>
    <hyperlink ref="A27" r:id="rId4" xr:uid="{CFDCD396-0149-42AA-BB31-930C221D9301}"/>
    <hyperlink ref="A22" r:id="rId5" xr:uid="{E4844862-D69B-4DDA-885D-61E724858D85}"/>
    <hyperlink ref="A12" r:id="rId6" xr:uid="{1385CF84-02C5-4528-A2FA-CBDCC0A1CDC6}"/>
    <hyperlink ref="A15" r:id="rId7" xr:uid="{B62EF3BE-5714-4F9F-9991-3E6223E3C128}"/>
    <hyperlink ref="A20" r:id="rId8" xr:uid="{F95C8791-C206-49D5-BB13-26F8ED3D6055}"/>
    <hyperlink ref="A24" r:id="rId9" xr:uid="{ACA5E78B-FB1E-40E5-B10C-A64F2F568DF9}"/>
    <hyperlink ref="A29" r:id="rId10" xr:uid="{7864317F-1E2A-4215-8726-011C979FAED3}"/>
    <hyperlink ref="A32" r:id="rId11" xr:uid="{A6956574-2CB7-4D18-B8B4-315E9CAFC9C6}"/>
    <hyperlink ref="A25" r:id="rId12" xr:uid="{474B2979-02C7-4CFA-8F1D-CBEF45C15B67}"/>
    <hyperlink ref="A8" r:id="rId13" xr:uid="{CC5D667D-FBAD-4271-8238-F3696793E2C9}"/>
    <hyperlink ref="A33" r:id="rId14" xr:uid="{16E58749-9D5F-49F2-B373-1003BF867FDD}"/>
    <hyperlink ref="A16" r:id="rId15" xr:uid="{3096C38B-3FF7-4967-A301-01B9DA3CAC00}"/>
    <hyperlink ref="A21" r:id="rId16" xr:uid="{B754E5ED-DBA4-49B1-8D85-9DC7A8C781C3}"/>
    <hyperlink ref="A11" r:id="rId17" xr:uid="{9BFE1809-CDB1-4F4A-AA73-8FEADC53811C}"/>
    <hyperlink ref="A14" r:id="rId18" xr:uid="{B0227080-DFDD-4229-A0E2-EACA0F7B3F2E}"/>
    <hyperlink ref="A19" r:id="rId19" xr:uid="{BF55FF3A-C26D-43ED-99F6-01F2E3C104F3}"/>
    <hyperlink ref="A23" r:id="rId20" xr:uid="{11A1B708-098E-4171-AA35-A7A5CDA5609E}"/>
    <hyperlink ref="A28" r:id="rId21" xr:uid="{1680842A-880D-4E81-8A22-A217522CA79B}"/>
    <hyperlink ref="A30" r:id="rId22" xr:uid="{48240752-7064-454D-901D-CE6F6729813A}"/>
    <hyperlink ref="A17" r:id="rId23" xr:uid="{1B75A59D-4E78-4810-878A-74D2D573AE10}"/>
    <hyperlink ref="A26" r:id="rId24" xr:uid="{C6D03C4D-DB60-47F3-AD81-1DFECDE59993}"/>
    <hyperlink ref="A31" r:id="rId25" xr:uid="{13FDAC4B-DDA2-468F-8361-30A22876FC98}"/>
    <hyperlink ref="A34" r:id="rId26" xr:uid="{88B2775F-4853-48B4-BFE5-C40AE014A3DE}"/>
    <hyperlink ref="A9" r:id="rId27" xr:uid="{90A05281-1293-450B-B8D0-A23BFA9226B2}"/>
  </hyperlinks>
  <pageMargins left="0.7" right="0.7" top="0.75" bottom="0.75" header="0.3" footer="0.3"/>
  <pageSetup orientation="portrait"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dbbd29-288a-4ee1-a4e4-7e982df92d63">
      <Terms xmlns="http://schemas.microsoft.com/office/infopath/2007/PartnerControls"/>
    </lcf76f155ced4ddcb4097134ff3c332f>
    <TaxCatchAll xmlns="04753832-ce7c-4016-a8e2-63ffe407adb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2DE272C5E2D4F8034AA3C2441887A" ma:contentTypeVersion="15" ma:contentTypeDescription="Create a new document." ma:contentTypeScope="" ma:versionID="5d565802634382c16f9710dcc24be8d5">
  <xsd:schema xmlns:xsd="http://www.w3.org/2001/XMLSchema" xmlns:xs="http://www.w3.org/2001/XMLSchema" xmlns:p="http://schemas.microsoft.com/office/2006/metadata/properties" xmlns:ns2="fedbbd29-288a-4ee1-a4e4-7e982df92d63" xmlns:ns3="04753832-ce7c-4016-a8e2-63ffe407adb3" targetNamespace="http://schemas.microsoft.com/office/2006/metadata/properties" ma:root="true" ma:fieldsID="f53166f37c99814a2a3a602bc5120a7d" ns2:_="" ns3:_="">
    <xsd:import namespace="fedbbd29-288a-4ee1-a4e4-7e982df92d63"/>
    <xsd:import namespace="04753832-ce7c-4016-a8e2-63ffe407a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bbd29-288a-4ee1-a4e4-7e982df92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88cda1b-5ba3-4554-9b19-27b0d4237f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53832-ce7c-4016-a8e2-63ffe407ad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e449f87-7ab6-4564-a209-407e53babb75}" ma:internalName="TaxCatchAll" ma:showField="CatchAllData" ma:web="04753832-ce7c-4016-a8e2-63ffe407ad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5DC348-8AAB-43E5-AB51-3E8201D61C2C}">
  <ds:schemaRefs>
    <ds:schemaRef ds:uri="http://schemas.microsoft.com/office/2006/metadata/properties"/>
    <ds:schemaRef ds:uri="http://schemas.microsoft.com/office/infopath/2007/PartnerControls"/>
    <ds:schemaRef ds:uri="fedbbd29-288a-4ee1-a4e4-7e982df92d63"/>
    <ds:schemaRef ds:uri="04753832-ce7c-4016-a8e2-63ffe407adb3"/>
  </ds:schemaRefs>
</ds:datastoreItem>
</file>

<file path=customXml/itemProps2.xml><?xml version="1.0" encoding="utf-8"?>
<ds:datastoreItem xmlns:ds="http://schemas.openxmlformats.org/officeDocument/2006/customXml" ds:itemID="{8FBD4541-9A9A-47A8-811A-B8DECDF1A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bbd29-288a-4ee1-a4e4-7e982df92d63"/>
    <ds:schemaRef ds:uri="04753832-ce7c-4016-a8e2-63ffe407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6DA3F8-458B-4767-B010-933F156493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M12 Lenses</vt:lpstr>
      <vt:lpstr>C and CS-Mount Lenses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 Henkart</cp:lastModifiedBy>
  <cp:revision/>
  <dcterms:created xsi:type="dcterms:W3CDTF">2022-06-27T17:53:41Z</dcterms:created>
  <dcterms:modified xsi:type="dcterms:W3CDTF">2025-06-12T13:39:58Z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0x0101007232DE272C5E2D4F8034AA3C2441887A</vt:lpwstr>
  </property>
  <property fmtid="{D5CDD505-2E9C-101B-9397-08002B2CF9AE}" pid="3" name="MediaServiceImageTags">
    <vt:lpwstr/>
  </property>
</Properties>
</file>